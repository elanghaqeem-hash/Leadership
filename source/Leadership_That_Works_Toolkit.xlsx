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1 Self-Diagnostic" sheetId="2" state="visible" r:id="rId4"/>
    <sheet name="2 480-Minute" sheetId="3" state="visible" r:id="rId5"/>
    <sheet name="3 Priority Scorecard" sheetId="4" state="visible" r:id="rId6"/>
    <sheet name="4 Weekly Planner" sheetId="5" state="visible" r:id="rId7"/>
    <sheet name="5 Big3 &amp; Meeting" sheetId="6" state="visible" r:id="rId8"/>
    <sheet name="6 Delegation" sheetId="7" state="visible" r:id="rId9"/>
    <sheet name="7 GROW &amp; SBI" sheetId="8" state="visible" r:id="rId10"/>
    <sheet name="8 Fact-Assumption" sheetId="9" state="visible" r:id="rId11"/>
    <sheet name="9 Root Cause" sheetId="10" state="visible" r:id="rId12"/>
    <sheet name="10 Bias Checklist" sheetId="11" state="visible" r:id="rId13"/>
    <sheet name="11 Decision Matrix" sheetId="12" state="visible" r:id="rId14"/>
    <sheet name="12 Pre-Mortem" sheetId="13" state="visible" r:id="rId15"/>
    <sheet name="13 Decision Log" sheetId="14" state="visible" r:id="rId16"/>
    <sheet name="14 Action Tracker" sheetId="15" state="visible" r:id="rId17"/>
    <sheet name="15 Arena Scoring" sheetId="16" state="visible" r:id="rId18"/>
    <sheet name="16 Decision Auction" sheetId="17" state="visible" r:id="rId19"/>
    <sheet name="17 War Room Score" sheetId="18" state="visible" r:id="rId20"/>
    <sheet name="18 Boardroom Rubric" sheetId="19" state="visible" r:id="rId21"/>
    <sheet name="19 Pre-Post Test" sheetId="20" state="visible" r:id="rId22"/>
    <sheet name="19b Test Scoring" sheetId="21" state="visible" r:id="rId23"/>
    <sheet name="20 30-Day Plan" sheetId="22" state="visible" r:id="rId24"/>
    <sheet name="21 Manager Follow-up" sheetId="23" state="visible" r:id="rId25"/>
    <sheet name="22 Impact Metrics" sheetId="24" state="visible" r:id="rId26"/>
    <sheet name="23 AAR &amp; SSC" sheetId="25" state="visible" r:id="rId27"/>
    <sheet name="24 Kartu Game" sheetId="26" state="visible" r:id="rId28"/>
    <sheet name="25 Evaluasi Training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<sst xmlns="http://schemas.openxmlformats.org/spreadsheetml/2006/main" count="1568" uniqueCount="1011">
  <si>
    <t xml:space="preserve">LEADERSHIP THAT WORKS — Facilitator &amp; Participant Toolkit</t>
  </si>
  <si>
    <t xml:space="preserve">Lead Yourself. Think Better. Decide Smarter. Execute Stronger.</t>
  </si>
  <si>
    <t xml:space="preserve">Sel kuning (teks biru) = input. Sel lain = rumus/panduan, jangan ditimpa. Nama bank, tanggal, dan trainer silakan disesuaikan.</t>
  </si>
  <si>
    <t xml:space="preserve">Sheet</t>
  </si>
  <si>
    <t xml:space="preserve">Judul</t>
  </si>
  <si>
    <t xml:space="preserve">Fungsi / cara pakai</t>
  </si>
  <si>
    <t xml:space="preserve">1 Self-Diagnostic</t>
  </si>
  <si>
    <t xml:space="preserve">Leadership Self-Diagnostic (Pre &amp; Post)</t>
  </si>
  <si>
    <t xml:space="preserve">Isi skor 1–5 sebelum training (Pre) dan di akhir Day 2 (Post). Grafik radar terbarui otomatis.</t>
  </si>
  <si>
    <t xml:space="preserve">2 480-Minute</t>
  </si>
  <si>
    <t xml:space="preserve">Game 2 · The 480-Minute Challenge (Time Audit)</t>
  </si>
  <si>
    <t xml:space="preserve">Isi 1 pada kolom Pilih untuk aktivitas yang 'dibeli'. Kolom poin (konsekuensi tersembunyi) disembunyikan dari peserta saat bermain — sembunyikan kolom G–L bila diproyeksikan.</t>
  </si>
  <si>
    <t xml:space="preserve">3 Priority Scorecard</t>
  </si>
  <si>
    <t xml:space="preserve">Priority Matrix &amp; Banking Priority Scorecard</t>
  </si>
  <si>
    <t xml:space="preserve">Skor 1–5 untuk 6 dimensi. Skor tertimbang → P1–P4 otomatis. Override: Risk atau Compliance = 5 → P1.</t>
  </si>
  <si>
    <t xml:space="preserve">4 Weekly Planner</t>
  </si>
  <si>
    <t xml:space="preserve">Weekly Leadership Planner &amp; Time Blocking</t>
  </si>
  <si>
    <t xml:space="preserve">Pilih kategori di setiap slot 30 menit. Sistem menghitung % buffer (target 15–20%) dan % focus.</t>
  </si>
  <si>
    <t xml:space="preserve">5 Big3 &amp; Meeting</t>
  </si>
  <si>
    <t xml:space="preserve">Daily Big 3 &amp; Meeting Checklist</t>
  </si>
  <si>
    <t xml:space="preserve">Tulis 3 hasil (outcome) setiap pagi sebelum membuka email. Tandai Y bila selesai.</t>
  </si>
  <si>
    <t xml:space="preserve">6 Delegation</t>
  </si>
  <si>
    <t xml:space="preserve">Delegation Contract, Level Guide &amp; RACI</t>
  </si>
  <si>
    <t xml:space="preserve">Isi satu kolom per delegasi. Sistem memeriksa kelengkapan 8 elemen.</t>
  </si>
  <si>
    <t xml:space="preserve">7 GROW &amp; SBI</t>
  </si>
  <si>
    <t xml:space="preserve">GROW Coaching Sheet &amp; SBI Feedback Card</t>
  </si>
  <si>
    <t xml:space="preserve">Leader bertanya, staf menjawab. SBI menyusun kalimat feedback otomatis.</t>
  </si>
  <si>
    <t xml:space="preserve">8 Fact-Assumption</t>
  </si>
  <si>
    <t xml:space="preserve">Fact-Assumption-Opinion Sheet &amp; Critical Thinking Questions</t>
  </si>
  <si>
    <t xml:space="preserve">Klasifikasikan setiap pernyataan sebelum menyimpulkan.</t>
  </si>
  <si>
    <t xml:space="preserve">9 Root Cause</t>
  </si>
  <si>
    <t xml:space="preserve">5 Whys, Fishbone &amp; Issue Tree</t>
  </si>
  <si>
    <t xml:space="preserve">Gunakan fishbone untuk memetakan penyebab, 5 Whys untuk menggali kandidat terkuat, issue tree untuk memecah masalah.</t>
  </si>
  <si>
    <t xml:space="preserve">10 Bias Checklist</t>
  </si>
  <si>
    <t xml:space="preserve">Bias Checklist sebelum memutuskan</t>
  </si>
  <si>
    <t xml:space="preserve">Jawab Y bila tanda bias terdeteksi; tuliskan mitigasi.</t>
  </si>
  <si>
    <t xml:space="preserve">11 Decision Matrix</t>
  </si>
  <si>
    <t xml:space="preserve">Decision Matrix (9 kriteria)</t>
  </si>
  <si>
    <t xml:space="preserve">Skor 1–5 (5 = paling menguntungkan). Untuk Risk &amp; Execution Difficulty: risiko rendah / mudah = skor tinggi.</t>
  </si>
  <si>
    <t xml:space="preserve">12 Pre-Mortem</t>
  </si>
  <si>
    <t xml:space="preserve">Pre-Mortem: Failure → Warning → Prevention</t>
  </si>
  <si>
    <t xml:space="preserve">Bayangkan 6 bulan lagi keputusan ini gagal total. Tulis alasannya, tanda awalnya, dan pencegahannya.</t>
  </si>
  <si>
    <t xml:space="preserve">13 Decision Log</t>
  </si>
  <si>
    <t xml:space="preserve">Decision Log</t>
  </si>
  <si>
    <t xml:space="preserve">Catat setiap keputusan penting untuk dipelajari kembali (Learning Leadership).</t>
  </si>
  <si>
    <t xml:space="preserve">14 Action Tracker</t>
  </si>
  <si>
    <t xml:space="preserve">Action Tracker</t>
  </si>
  <si>
    <t xml:space="preserve">No owner = no action. No deadline = no commitment. No evidence = no closure.</t>
  </si>
  <si>
    <t xml:space="preserve">15 Arena Scoring</t>
  </si>
  <si>
    <t xml:space="preserve">Banking Leadership Arena · Scoring (4 tim)</t>
  </si>
  <si>
    <t xml:space="preserve">Isi pilihan tiap tim: Do / Delegate / Escalate / Defer. Poin, waktu, penalti dihitung otomatis. Parameter kolom B–E bisa diubah trainer.</t>
  </si>
  <si>
    <t xml:space="preserve">16 Decision Auction</t>
  </si>
  <si>
    <t xml:space="preserve">Game 10 · The Decision Auction</t>
  </si>
  <si>
    <t xml:space="preserve">Isi 1 untuk program yang dipilih tiap ronde (maks 3, budget 1.000). Info ronde mengubah benefit (faktor bisa diubah trainer).</t>
  </si>
  <si>
    <t xml:space="preserve">17 War Room Score</t>
  </si>
  <si>
    <t xml:space="preserve">Leadership Scorecard · War Room (100 poin)</t>
  </si>
  <si>
    <t xml:space="preserve">Observer mengisi skor per dimensi (0–maks). Total, peringkat, dan dimensi terlemah dihitung otomatis.</t>
  </si>
  <si>
    <t xml:space="preserve">18 Boardroom Rubric</t>
  </si>
  <si>
    <t xml:space="preserve">Game 11 · 60-Second Boardroom Rubric</t>
  </si>
  <si>
    <t xml:space="preserve">Skor 1–5 per kriteria. Maks 30.</t>
  </si>
  <si>
    <t xml:space="preserve">19 Pre-Post Test</t>
  </si>
  <si>
    <t xml:space="preserve">Pre-Test &amp; Post-Test (20 soal pilihan ganda)</t>
  </si>
  <si>
    <t xml:space="preserve">Soal sama untuk Pre &amp; Post. Kunci di kolom G (sembunyikan/lindungi sebelum dibagikan). Jawaban peserta diisi di sheet 19b.</t>
  </si>
  <si>
    <t xml:space="preserve">19b Test Scoring</t>
  </si>
  <si>
    <t xml:space="preserve">Pre/Post Test · Lembar Skor Otomatis</t>
  </si>
  <si>
    <t xml:space="preserve">Ketik jawaban A–D per soal. Skor = jumlah benar × 5 (maks 100). Gain = Post − Pre.</t>
  </si>
  <si>
    <t xml:space="preserve">20 30-Day Plan</t>
  </si>
  <si>
    <t xml:space="preserve">30-Day Leadership Transformation Plan</t>
  </si>
  <si>
    <t xml:space="preserve">Pilih 3 behavioral target. Isi tanggal mulai — tanggal review D7/D14/D30 terhitung otomatis.</t>
  </si>
  <si>
    <t xml:space="preserve">21 Manager Follow-up</t>
  </si>
  <si>
    <t xml:space="preserve">Manager Follow-up Guide · D7 / D14 / D30</t>
  </si>
  <si>
    <t xml:space="preserve">D7 diisi peserta (self review); D14 dan D30 diisi bersama atasan.</t>
  </si>
  <si>
    <t xml:space="preserve">22 Impact Metrics</t>
  </si>
  <si>
    <t xml:space="preserve">Leadership Impact Metrics · Before vs After</t>
  </si>
  <si>
    <t xml:space="preserve">Isi baseline (sebelum training) dan nilai Day 30. Arah: Turun = lebih baik / Naik = lebih baik.</t>
  </si>
  <si>
    <t xml:space="preserve">23 AAR &amp; SSC</t>
  </si>
  <si>
    <t xml:space="preserve">After Action Review &amp; Stop–Start–Continue</t>
  </si>
  <si>
    <t xml:space="preserve">Gunakan setelah game, proyek, insiden, atau di akhir training.</t>
  </si>
  <si>
    <t xml:space="preserve">24 Kartu Game</t>
  </si>
  <si>
    <t xml:space="preserve">Kartu Game Siap Cetak (Game 1–11 + War Room)</t>
  </si>
  <si>
    <t xml:space="preserve">Cetak per blok, potong menjadi kartu. Kolom kunci hanya untuk trainer. Semua kasus fiktif untuk latihan.</t>
  </si>
  <si>
    <t xml:space="preserve">25 Evaluasi Training</t>
  </si>
  <si>
    <t xml:space="preserve">Training Effectiveness Measurement · Kirkpatrick L1–L4</t>
  </si>
  <si>
    <t xml:space="preserve">Ringkasan bukti efektivitas training. L1 diisi akhir Day 2; L2 dari test; L3 dari follow-up D30; L4 dari impact metrics.</t>
  </si>
  <si>
    <t xml:space="preserve">Pemetaan 25 tools</t>
  </si>
  <si>
    <t xml:space="preserve">1 Self-Diagnostic · 2 480-Minute Audit · 3 Priority Matrix &amp; Scorecard · 4 Weekly Planner/Time Blocking · 5 Daily Big 3 &amp; Meeting Checklist · 6 Delegation Contract, Level Guide &amp; RACI · 7 GROW &amp; SBI · 8 Fact-Assumption &amp; Questions Card · 9 5 Whys, Fishbone, Issue Tree · 10 Bias Checklist · 11 Decision Matrix · 12 Pre-Mortem · 13 Decision Log · 14 Action Tracker · 23 AAR &amp; Stop-Start-Continue · 20 30-Day Plan</t>
  </si>
  <si>
    <t xml:space="preserve">Legenda: sel kuning = diisi peserta/trainer (teks biru); sel putih/abu = otomatis (rumus) atau panduan.</t>
  </si>
  <si>
    <t xml:space="preserve">Dimensi</t>
  </si>
  <si>
    <t xml:space="preserve">Pre (1–5)</t>
  </si>
  <si>
    <t xml:space="preserve">Post (1–5)</t>
  </si>
  <si>
    <t xml:space="preserve">Gap</t>
  </si>
  <si>
    <t xml:space="preserve">Status</t>
  </si>
  <si>
    <t xml:space="preserve">Catatan / contoh perilaku</t>
  </si>
  <si>
    <t xml:space="preserve">Priority Management</t>
  </si>
  <si>
    <t xml:space="preserve">Contoh: sering mengerjakan permintaan sesuai urutan datang</t>
  </si>
  <si>
    <t xml:space="preserve">Time Management</t>
  </si>
  <si>
    <t xml:space="preserve">Focus</t>
  </si>
  <si>
    <t xml:space="preserve">Delegation</t>
  </si>
  <si>
    <t xml:space="preserve">Critical Thinking</t>
  </si>
  <si>
    <t xml:space="preserve">Decision Making</t>
  </si>
  <si>
    <t xml:space="preserve">Communication</t>
  </si>
  <si>
    <t xml:space="preserve">Accountability</t>
  </si>
  <si>
    <t xml:space="preserve">Coaching</t>
  </si>
  <si>
    <t xml:space="preserve">Execution</t>
  </si>
  <si>
    <t xml:space="preserve">Rata-rata</t>
  </si>
  <si>
    <t xml:space="preserve">Apa satu masalah leadership terbesar yang saat ini mengganggu efektivitas kerja Anda?</t>
  </si>
  <si>
    <t xml:space="preserve">Bawa 4 contoh nyata (dipakai anonim)</t>
  </si>
  <si>
    <t xml:space="preserve">1 contoh keputusan sulit</t>
  </si>
  <si>
    <t xml:space="preserve">1 contoh pekerjaan yang sering overdue</t>
  </si>
  <si>
    <t xml:space="preserve">1 contoh situasi terlalu banyak prioritas</t>
  </si>
  <si>
    <t xml:space="preserve">1 contoh masalah tim</t>
  </si>
  <si>
    <t xml:space="preserve">Aktivitas</t>
  </si>
  <si>
    <t xml:space="preserve">Menit</t>
  </si>
  <si>
    <t xml:space="preserve">Kategori</t>
  </si>
  <si>
    <t xml:space="preserve">Pilih (1/0)</t>
  </si>
  <si>
    <t xml:space="preserve">Menit terpakai</t>
  </si>
  <si>
    <t xml:space="preserve">Risk critical?</t>
  </si>
  <si>
    <t xml:space="preserve">Business</t>
  </si>
  <si>
    <t xml:space="preserve">Customer</t>
  </si>
  <si>
    <t xml:space="preserve">Risk</t>
  </si>
  <si>
    <t xml:space="preserve">People</t>
  </si>
  <si>
    <t xml:space="preserve">Penalti</t>
  </si>
  <si>
    <t xml:space="preserve">Catatan</t>
  </si>
  <si>
    <t xml:space="preserve">Customer complaint</t>
  </si>
  <si>
    <t xml:space="preserve">Urgent+Important</t>
  </si>
  <si>
    <t xml:space="preserve">N</t>
  </si>
  <si>
    <t xml:space="preserve">Business target review</t>
  </si>
  <si>
    <t xml:space="preserve">Important</t>
  </si>
  <si>
    <t xml:space="preserve">Routine meeting</t>
  </si>
  <si>
    <t xml:space="preserve">Urgent</t>
  </si>
  <si>
    <t xml:space="preserve">Regulatory deadline</t>
  </si>
  <si>
    <t xml:space="preserve">Y</t>
  </si>
  <si>
    <t xml:space="preserve">Employee coaching</t>
  </si>
  <si>
    <t xml:space="preserve">Credit approval</t>
  </si>
  <si>
    <t xml:space="preserve">WhatsApp group</t>
  </si>
  <si>
    <t xml:space="preserve">Neither</t>
  </si>
  <si>
    <t xml:space="preserve">Fraud alert</t>
  </si>
  <si>
    <t xml:space="preserve">Audit finding</t>
  </si>
  <si>
    <t xml:space="preserve">Management request</t>
  </si>
  <si>
    <t xml:space="preserve">Lunch</t>
  </si>
  <si>
    <t xml:space="preserve">Planning</t>
  </si>
  <si>
    <t xml:space="preserve">Project improvement</t>
  </si>
  <si>
    <t xml:space="preserve">Email backlog</t>
  </si>
  <si>
    <t xml:space="preserve">Branch walk-around</t>
  </si>
  <si>
    <t xml:space="preserve">Vendor call</t>
  </si>
  <si>
    <t xml:space="preserve">Team briefing</t>
  </si>
  <si>
    <t xml:space="preserve">Report review</t>
  </si>
  <si>
    <t xml:space="preserve">Customer visit</t>
  </si>
  <si>
    <t xml:space="preserve">Learning time</t>
  </si>
  <si>
    <t xml:space="preserve">Total menit terpakai</t>
  </si>
  <si>
    <t xml:space="preserve">Sisa menit (dari 480)</t>
  </si>
  <si>
    <t xml:space="preserve">% waktu Urgent+Important</t>
  </si>
  <si>
    <t xml:space="preserve">% waktu Important (not urgent)</t>
  </si>
  <si>
    <t xml:space="preserve">% waktu Urgent (not important)</t>
  </si>
  <si>
    <t xml:space="preserve">% waktu Neither</t>
  </si>
  <si>
    <t xml:space="preserve">Skor konsekuensi (dibuka saat debrief)</t>
  </si>
  <si>
    <t xml:space="preserve">Skor</t>
  </si>
  <si>
    <t xml:space="preserve">Penalti risk critical diabaikan</t>
  </si>
  <si>
    <t xml:space="preserve">Penalti melebihi 480 menit</t>
  </si>
  <si>
    <t xml:space="preserve">TOTAL SKOR</t>
  </si>
  <si>
    <t xml:space="preserve">Catatan: biaya menit &amp; poin adalah parameter game (bisa diubah trainer).</t>
  </si>
  <si>
    <t xml:space="preserve">Bobot (ubah bila perlu) →</t>
  </si>
  <si>
    <t xml:space="preserve">Total bobot harus 100%</t>
  </si>
  <si>
    <t xml:space="preserve">Pekerjaan / permintaan</t>
  </si>
  <si>
    <t xml:space="preserve">What happens if I do not do this today?</t>
  </si>
  <si>
    <t xml:space="preserve">Urgency</t>
  </si>
  <si>
    <t xml:space="preserve">Compliance</t>
  </si>
  <si>
    <t xml:space="preserve">Strategic</t>
  </si>
  <si>
    <t xml:space="preserve">Skor tertimbang</t>
  </si>
  <si>
    <t xml:space="preserve">Level</t>
  </si>
  <si>
    <t xml:space="preserve">Tindakan (Eisenhower)</t>
  </si>
  <si>
    <t xml:space="preserve">Laporan ke regulator (tenggat hari ini)</t>
  </si>
  <si>
    <t xml:space="preserve">Sanksi dan temuan kepatuhan</t>
  </si>
  <si>
    <t xml:space="preserve">Panduan level</t>
  </si>
  <si>
    <t xml:space="preserve">Aturan</t>
  </si>
  <si>
    <t xml:space="preserve">Tindakan</t>
  </si>
  <si>
    <t xml:space="preserve">P1</t>
  </si>
  <si>
    <t xml:space="preserve">Skor ≥ 4,0 atau Risk/Compliance = 5</t>
  </si>
  <si>
    <t xml:space="preserve">Kerjakan atau eskalasi hari ini</t>
  </si>
  <si>
    <t xml:space="preserve">P2</t>
  </si>
  <si>
    <t xml:space="preserve">Skor 3,0–3,9</t>
  </si>
  <si>
    <t xml:space="preserve">Jadwalkan di time block minggu ini</t>
  </si>
  <si>
    <t xml:space="preserve">P3</t>
  </si>
  <si>
    <t xml:space="preserve">Skor 2,0–2,9</t>
  </si>
  <si>
    <t xml:space="preserve">Delegasikan (Delegation Contract)</t>
  </si>
  <si>
    <t xml:space="preserve">P4</t>
  </si>
  <si>
    <t xml:space="preserve">Skor &lt; 2,0</t>
  </si>
  <si>
    <t xml:space="preserve">Hapus, gabungkan, batch</t>
  </si>
  <si>
    <t xml:space="preserve">Jam</t>
  </si>
  <si>
    <t xml:space="preserve">Senin</t>
  </si>
  <si>
    <t xml:space="preserve">Selasa</t>
  </si>
  <si>
    <t xml:space="preserve">Rabu</t>
  </si>
  <si>
    <t xml:space="preserve">Kamis</t>
  </si>
  <si>
    <t xml:space="preserve">Jumat</t>
  </si>
  <si>
    <t xml:space="preserve">% kerja</t>
  </si>
  <si>
    <t xml:space="preserve">08:00</t>
  </si>
  <si>
    <t xml:space="preserve">Admin/Batch</t>
  </si>
  <si>
    <t xml:space="preserve">08:30</t>
  </si>
  <si>
    <t xml:space="preserve">Meeting</t>
  </si>
  <si>
    <t xml:space="preserve">09:00</t>
  </si>
  <si>
    <t xml:space="preserve">09:30</t>
  </si>
  <si>
    <t xml:space="preserve">People/Coaching</t>
  </si>
  <si>
    <t xml:space="preserve">10:00</t>
  </si>
  <si>
    <t xml:space="preserve">10:30</t>
  </si>
  <si>
    <t xml:space="preserve">Buffer</t>
  </si>
  <si>
    <t xml:space="preserve">11:00</t>
  </si>
  <si>
    <t xml:space="preserve">Break</t>
  </si>
  <si>
    <t xml:space="preserve">11:30</t>
  </si>
  <si>
    <t xml:space="preserve">12:00</t>
  </si>
  <si>
    <t xml:space="preserve">Status buffer</t>
  </si>
  <si>
    <t xml:space="preserve">12:30</t>
  </si>
  <si>
    <t xml:space="preserve">Status focus</t>
  </si>
  <si>
    <t xml:space="preserve">13:00</t>
  </si>
  <si>
    <t xml:space="preserve">13:30</t>
  </si>
  <si>
    <t xml:space="preserve">Prinsip: rencanakan 80–85%, buffer 15–20%. Focus block di jam energi puncak. Email/approval di-batch.</t>
  </si>
  <si>
    <t xml:space="preserve">14:00</t>
  </si>
  <si>
    <t xml:space="preserve">14:30</t>
  </si>
  <si>
    <t xml:space="preserve">15:00</t>
  </si>
  <si>
    <t xml:space="preserve">15:30</t>
  </si>
  <si>
    <t xml:space="preserve">16:00</t>
  </si>
  <si>
    <t xml:space="preserve">16:30</t>
  </si>
  <si>
    <t xml:space="preserve">Tanggal</t>
  </si>
  <si>
    <t xml:space="preserve">Big 1 (dampak tertinggi)</t>
  </si>
  <si>
    <t xml:space="preserve">Done?</t>
  </si>
  <si>
    <t xml:space="preserve">Big 2 (risk/compliance)</t>
  </si>
  <si>
    <t xml:space="preserve">Big 3 (people/improvement)</t>
  </si>
  <si>
    <t xml:space="preserve">Skor hari</t>
  </si>
  <si>
    <t xml:space="preserve">Keputusan kredit nasabah X tuntas</t>
  </si>
  <si>
    <t xml:space="preserve">2 audit finding ditutup dengan evidence</t>
  </si>
  <si>
    <t xml:space="preserve">Coaching 30 menit dengan officer baru</t>
  </si>
  <si>
    <t xml:space="preserve">Tingkat penyelesaian</t>
  </si>
  <si>
    <t xml:space="preserve">Meeting Checklist (Go / No-Go)</t>
  </si>
  <si>
    <t xml:space="preserve">No</t>
  </si>
  <si>
    <t xml:space="preserve">Pertanyaan</t>
  </si>
  <si>
    <t xml:space="preserve">Y/N</t>
  </si>
  <si>
    <t xml:space="preserve">Wajib?</t>
  </si>
  <si>
    <t xml:space="preserve">Tujuan meeting jelas dan tertulis</t>
  </si>
  <si>
    <t xml:space="preserve">Ya</t>
  </si>
  <si>
    <t xml:space="preserve">Agenda dikirim sebelum meeting</t>
  </si>
  <si>
    <t xml:space="preserve">Tidak</t>
  </si>
  <si>
    <t xml:space="preserve">Keputusan yang dibutuhkan sudah jelas</t>
  </si>
  <si>
    <t xml:space="preserve">Hanya peserta yang relevan diundang</t>
  </si>
  <si>
    <t xml:space="preserve">Durasi ≤ 45 menit</t>
  </si>
  <si>
    <t xml:space="preserve">Ada notulen aksi (owner, deadline)</t>
  </si>
  <si>
    <t xml:space="preserve">Tidak bisa diganti update tertulis</t>
  </si>
  <si>
    <t xml:space="preserve">Keputusan</t>
  </si>
  <si>
    <t xml:space="preserve">Elemen</t>
  </si>
  <si>
    <t xml:space="preserve">Delegasi 1</t>
  </si>
  <si>
    <t xml:space="preserve">Delegasi 2</t>
  </si>
  <si>
    <t xml:space="preserve">Delegasi 3</t>
  </si>
  <si>
    <t xml:space="preserve">Didelegasikan kepada</t>
  </si>
  <si>
    <t xml:space="preserve">Rina (Ops Supervisor)</t>
  </si>
  <si>
    <t xml:space="preserve">Level (L1–L5)</t>
  </si>
  <si>
    <t xml:space="preserve">L3</t>
  </si>
  <si>
    <t xml:space="preserve">WHAT – tugas apa</t>
  </si>
  <si>
    <t xml:space="preserve">Menyusun rencana penutupan 3 temuan audit KYC</t>
  </si>
  <si>
    <t xml:space="preserve">WHY – mengapa penting</t>
  </si>
  <si>
    <t xml:space="preserve">Tenggat komitmen ke audit internal 2 minggu lagi</t>
  </si>
  <si>
    <t xml:space="preserve">EXPECTED OUTCOME</t>
  </si>
  <si>
    <t xml:space="preserve">Rencana tindakan + dokumen pendukung siap divalidasi</t>
  </si>
  <si>
    <t xml:space="preserve">AUTHORITY – boleh memutuskan apa</t>
  </si>
  <si>
    <t xml:space="preserve">Menentukan urutan perbaikan dan PIC per berkas</t>
  </si>
  <si>
    <t xml:space="preserve">BOUNDARY – batas biaya/risiko/kebijakan</t>
  </si>
  <si>
    <t xml:space="preserve">Tidak mengubah kebijakan; biaya Rp0</t>
  </si>
  <si>
    <t xml:space="preserve">DEADLINE</t>
  </si>
  <si>
    <t xml:space="preserve">[tgl]</t>
  </si>
  <si>
    <t xml:space="preserve">CHECKPOINT</t>
  </si>
  <si>
    <t xml:space="preserve">Setiap Selasa 15.00</t>
  </si>
  <si>
    <t xml:space="preserve">EVIDENCE – bukti selesai</t>
  </si>
  <si>
    <t xml:space="preserve">Upload evidence ke sistem audit</t>
  </si>
  <si>
    <t xml:space="preserve">Kelengkapan (8 elemen)</t>
  </si>
  <si>
    <t xml:space="preserve">Delegation Level Guide</t>
  </si>
  <si>
    <t xml:space="preserve">Nama</t>
  </si>
  <si>
    <t xml:space="preserve">Arti</t>
  </si>
  <si>
    <t xml:space="preserve">Cocok untuk</t>
  </si>
  <si>
    <t xml:space="preserve">L1</t>
  </si>
  <si>
    <t xml:space="preserve">Research</t>
  </si>
  <si>
    <t xml:space="preserve">Kumpulkan fakta, saya memutuskan</t>
  </si>
  <si>
    <t xml:space="preserve">Staf baru, isu sensitif</t>
  </si>
  <si>
    <t xml:space="preserve">L2</t>
  </si>
  <si>
    <t xml:space="preserve">Analyze</t>
  </si>
  <si>
    <t xml:space="preserve">Analisis dan sajikan opsi</t>
  </si>
  <si>
    <t xml:space="preserve">Staf berkembang</t>
  </si>
  <si>
    <t xml:space="preserve">Recommend</t>
  </si>
  <si>
    <t xml:space="preserve">Rekomendasikan satu opsi</t>
  </si>
  <si>
    <t xml:space="preserve">Staf kompeten</t>
  </si>
  <si>
    <t xml:space="preserve">L4</t>
  </si>
  <si>
    <t xml:space="preserve">Decide &amp; inform</t>
  </si>
  <si>
    <t xml:space="preserve">Putuskan, lalu informasikan</t>
  </si>
  <si>
    <t xml:space="preserve">Staf senior terpercaya</t>
  </si>
  <si>
    <t xml:space="preserve">L5</t>
  </si>
  <si>
    <t xml:space="preserve">Own</t>
  </si>
  <si>
    <t xml:space="preserve">Pemilik penuh</t>
  </si>
  <si>
    <t xml:space="preserve">Calon leader / talent pool</t>
  </si>
  <si>
    <t xml:space="preserve">RACI Matrix (isi R / A / C / I)</t>
  </si>
  <si>
    <t xml:space="preserve">Branch Mgr</t>
  </si>
  <si>
    <t xml:space="preserve">Ops Supervisor</t>
  </si>
  <si>
    <t xml:space="preserve">Officer</t>
  </si>
  <si>
    <t xml:space="preserve">Internal Audit</t>
  </si>
  <si>
    <t xml:space="preserve">Cek: jumlah A</t>
  </si>
  <si>
    <t xml:space="preserve">Analisis akar masalah</t>
  </si>
  <si>
    <t xml:space="preserve">C</t>
  </si>
  <si>
    <t xml:space="preserve">A</t>
  </si>
  <si>
    <t xml:space="preserve">R</t>
  </si>
  <si>
    <t xml:space="preserve">Tahap</t>
  </si>
  <si>
    <t xml:space="preserve">Pertanyaan pemandu</t>
  </si>
  <si>
    <t xml:space="preserve">Jawaban staf / catatan</t>
  </si>
  <si>
    <t xml:space="preserve">Goal</t>
  </si>
  <si>
    <t xml:space="preserve">Hasil seperti apa yang ingin dicapai akhir bulan? Bagaimana kita tahu tercapai?</t>
  </si>
  <si>
    <t xml:space="preserve">Reality</t>
  </si>
  <si>
    <t xml:space="preserve">Apa yang sudah dicoba? Apa hambatannya? Berapa realisasi saat ini?</t>
  </si>
  <si>
    <t xml:space="preserve">Options</t>
  </si>
  <si>
    <t xml:space="preserve">Apa saja cara lain? Jika tanpa batasan, apa yang dilakukan? Siapa yang bisa membantu?</t>
  </si>
  <si>
    <t xml:space="preserve">Way Forward</t>
  </si>
  <si>
    <t xml:space="preserve">Apa langkah pertama? Kapan? Dukungan apa yang dibutuhkan? Kapan cek lagi?</t>
  </si>
  <si>
    <t xml:space="preserve">Observer: jumlah pertanyaan</t>
  </si>
  <si>
    <t xml:space="preserve">Observer: jumlah pernyataan/solusi</t>
  </si>
  <si>
    <t xml:space="preserve">Rasio bertanya</t>
  </si>
  <si>
    <t xml:space="preserve">SBI + Next Expectation Feedback Card</t>
  </si>
  <si>
    <t xml:space="preserve">Isi</t>
  </si>
  <si>
    <t xml:space="preserve">Contoh</t>
  </si>
  <si>
    <t xml:space="preserve">Situation</t>
  </si>
  <si>
    <t xml:space="preserve">Pada laporan rekonsiliasi kemarin,</t>
  </si>
  <si>
    <t xml:space="preserve">Behavior</t>
  </si>
  <si>
    <t xml:space="preserve">dua angka belum direkonsiliasi,</t>
  </si>
  <si>
    <t xml:space="preserve">Impact</t>
  </si>
  <si>
    <t xml:space="preserve">akibatnya review harus diulang.</t>
  </si>
  <si>
    <t xml:space="preserve">akibatnya review harus diulang</t>
  </si>
  <si>
    <t xml:space="preserve">Next Expectation</t>
  </si>
  <si>
    <t xml:space="preserve">Untuk laporan berikutnya, lakukan checklist sebelum submit.</t>
  </si>
  <si>
    <t xml:space="preserve">untuk laporan berikutnya lakukan checklist sebelum submit.</t>
  </si>
  <si>
    <t xml:space="preserve">Kalimat feedback</t>
  </si>
  <si>
    <t xml:space="preserve">Cek kualitas</t>
  </si>
  <si>
    <t xml:space="preserve">Pernyataan</t>
  </si>
  <si>
    <t xml:space="preserve">Jenis</t>
  </si>
  <si>
    <t xml:space="preserve">Evidence yang ada</t>
  </si>
  <si>
    <t xml:space="preserve">How do we know? (sumber)</t>
  </si>
  <si>
    <t xml:space="preserve">Better question</t>
  </si>
  <si>
    <t xml:space="preserve">NPL naik karena ekonomi</t>
  </si>
  <si>
    <t xml:space="preserve">Assumption</t>
  </si>
  <si>
    <t xml:space="preserve">NPL naik 0,4% (data)</t>
  </si>
  <si>
    <t xml:space="preserve">Laporan kualitas aset bulanan</t>
  </si>
  <si>
    <t xml:space="preserve">Segmen, produk, vintage mana yang memburuk?</t>
  </si>
  <si>
    <t xml:space="preserve">Jumlah asumsi/opini yang belum diverifikasi</t>
  </si>
  <si>
    <t xml:space="preserve">Critical Thinking Questions Card</t>
  </si>
  <si>
    <t xml:space="preserve">What?</t>
  </si>
  <si>
    <t xml:space="preserve">Apa yang sebenarnya terjadi?</t>
  </si>
  <si>
    <t xml:space="preserve">How do we know?</t>
  </si>
  <si>
    <t xml:space="preserve">Apa buktinya, dari sumber mana?</t>
  </si>
  <si>
    <t xml:space="preserve">Why?</t>
  </si>
  <si>
    <t xml:space="preserve">Mengapa terjadi?</t>
  </si>
  <si>
    <t xml:space="preserve">What else?</t>
  </si>
  <si>
    <t xml:space="preserve">Penjelasan lain apa yang mungkin?</t>
  </si>
  <si>
    <t xml:space="preserve">So what?</t>
  </si>
  <si>
    <t xml:space="preserve">Apa dampaknya?</t>
  </si>
  <si>
    <t xml:space="preserve">What if?</t>
  </si>
  <si>
    <t xml:space="preserve">Bagaimana jika kita salah?</t>
  </si>
  <si>
    <t xml:space="preserve">Now what?</t>
  </si>
  <si>
    <t xml:space="preserve">Apa tindakan selanjutnya?</t>
  </si>
  <si>
    <t xml:space="preserve">Problem statement</t>
  </si>
  <si>
    <t xml:space="preserve">Customer complaint naik 40% dalam 3 bulan</t>
  </si>
  <si>
    <t xml:space="preserve">5 Whys</t>
  </si>
  <si>
    <t xml:space="preserve">Jawaban</t>
  </si>
  <si>
    <t xml:space="preserve">Evidence? (Y/N)</t>
  </si>
  <si>
    <t xml:space="preserve">Sumber evidence</t>
  </si>
  <si>
    <t xml:space="preserve">Why 1</t>
  </si>
  <si>
    <t xml:space="preserve">Why 2</t>
  </si>
  <si>
    <t xml:space="preserve">Why 3</t>
  </si>
  <si>
    <t xml:space="preserve">Why 4</t>
  </si>
  <si>
    <t xml:space="preserve">Why 5</t>
  </si>
  <si>
    <t xml:space="preserve">Root cause kandidat</t>
  </si>
  <si>
    <t xml:space="preserve">Cek</t>
  </si>
  <si>
    <t xml:space="preserve">Kategori Fishbone</t>
  </si>
  <si>
    <t xml:space="preserve">Penyebab potensial</t>
  </si>
  <si>
    <t xml:space="preserve">Data pendukung</t>
  </si>
  <si>
    <t xml:space="preserve">Kandidat root cause?</t>
  </si>
  <si>
    <t xml:space="preserve">Process</t>
  </si>
  <si>
    <t xml:space="preserve">Technology</t>
  </si>
  <si>
    <t xml:space="preserve">Policy</t>
  </si>
  <si>
    <t xml:space="preserve">Data</t>
  </si>
  <si>
    <t xml:space="preserve">External</t>
  </si>
  <si>
    <t xml:space="preserve">Level 0 (masalah)</t>
  </si>
  <si>
    <t xml:space="preserve">Level 1 (MECE)</t>
  </si>
  <si>
    <t xml:space="preserve">Level 2 (driver)</t>
  </si>
  <si>
    <t xml:space="preserve">Metric / data</t>
  </si>
  <si>
    <t xml:space="preserve">Evidence status</t>
  </si>
  <si>
    <t xml:space="preserve">Branch profit decline</t>
  </si>
  <si>
    <t xml:space="preserve">Revenue</t>
  </si>
  <si>
    <t xml:space="preserve">Volume kredit &amp; dana</t>
  </si>
  <si>
    <t xml:space="preserve">Outstanding vs target</t>
  </si>
  <si>
    <t xml:space="preserve">Spread / NIM</t>
  </si>
  <si>
    <t xml:space="preserve">NIM bulanan</t>
  </si>
  <si>
    <t xml:space="preserve">Fee-based income</t>
  </si>
  <si>
    <t xml:space="preserve">Fee per produk</t>
  </si>
  <si>
    <t xml:space="preserve">Cost</t>
  </si>
  <si>
    <t xml:space="preserve">Biaya dana</t>
  </si>
  <si>
    <t xml:space="preserve">Cost of fund</t>
  </si>
  <si>
    <t xml:space="preserve">Biaya operasional</t>
  </si>
  <si>
    <t xml:space="preserve">Opex per bulan</t>
  </si>
  <si>
    <t xml:space="preserve">Credit Loss</t>
  </si>
  <si>
    <t xml:space="preserve">NPL baru per segmen</t>
  </si>
  <si>
    <t xml:space="preserve">NPL per vintage</t>
  </si>
  <si>
    <t xml:space="preserve">Pencadangan</t>
  </si>
  <si>
    <t xml:space="preserve">CKPN</t>
  </si>
  <si>
    <t xml:space="preserve">Bias</t>
  </si>
  <si>
    <t xml:space="preserve">Pertanyaan pengecekan</t>
  </si>
  <si>
    <t xml:space="preserve">Terdeteksi? (Y/N)</t>
  </si>
  <si>
    <t xml:space="preserve">Mitigasi / better question</t>
  </si>
  <si>
    <t xml:space="preserve">Confirmation</t>
  </si>
  <si>
    <t xml:space="preserve">Apakah kita hanya mencari data yang mendukung pilihan awal?</t>
  </si>
  <si>
    <t xml:space="preserve">Anchoring</t>
  </si>
  <si>
    <t xml:space="preserve">Apakah kita terpaku pada angka/usulan pertama?</t>
  </si>
  <si>
    <t xml:space="preserve">Authority</t>
  </si>
  <si>
    <t xml:space="preserve">Apakah kita memilih karena pejabat tertinggi menyukainya?</t>
  </si>
  <si>
    <t xml:space="preserve">Availability</t>
  </si>
  <si>
    <t xml:space="preserve">Apakah kita menilai dari kejadian yang paling mudah diingat?</t>
  </si>
  <si>
    <t xml:space="preserve">Halo Effect</t>
  </si>
  <si>
    <t xml:space="preserve">Apakah satu kesan baik menutupi risiko lain?</t>
  </si>
  <si>
    <t xml:space="preserve">Recency</t>
  </si>
  <si>
    <t xml:space="preserve">Apakah kejadian terbaru terlalu mendominasi penilaian?</t>
  </si>
  <si>
    <t xml:space="preserve">Status Quo</t>
  </si>
  <si>
    <t xml:space="preserve">Apakah kita menolak opsi baru hanya karena berbeda?</t>
  </si>
  <si>
    <t xml:space="preserve">Sunk Cost</t>
  </si>
  <si>
    <t xml:space="preserve">Apakah kita melanjutkan karena biaya yang sudah keluar?</t>
  </si>
  <si>
    <t xml:space="preserve">Overconfidence</t>
  </si>
  <si>
    <t xml:space="preserve">Apakah kita terlalu yakin tanpa skenario gagal?</t>
  </si>
  <si>
    <t xml:space="preserve">Groupthink</t>
  </si>
  <si>
    <t xml:space="preserve">Apakah ada yang ragu tetapi diam demi harmoni?</t>
  </si>
  <si>
    <t xml:space="preserve">Jumlah bias terdeteksi</t>
  </si>
  <si>
    <t xml:space="preserve">Rekomendasi</t>
  </si>
  <si>
    <t xml:space="preserve">Kriteria</t>
  </si>
  <si>
    <t xml:space="preserve">Bobot</t>
  </si>
  <si>
    <t xml:space="preserve">Opsi A</t>
  </si>
  <si>
    <t xml:space="preserve">Opsi B</t>
  </si>
  <si>
    <t xml:space="preserve">Opsi C</t>
  </si>
  <si>
    <t xml:space="preserve">Opsi D</t>
  </si>
  <si>
    <t xml:space="preserve">Nama opsi →</t>
  </si>
  <si>
    <t xml:space="preserve">Process redesign</t>
  </si>
  <si>
    <t xml:space="preserve">Hire staff</t>
  </si>
  <si>
    <t xml:space="preserve">Automation</t>
  </si>
  <si>
    <t xml:space="preserve">Business Impact</t>
  </si>
  <si>
    <t xml:space="preserve">Customer Impact</t>
  </si>
  <si>
    <t xml:space="preserve">Financial Impact</t>
  </si>
  <si>
    <t xml:space="preserve">Execution Difficulty</t>
  </si>
  <si>
    <t xml:space="preserve">Resources</t>
  </si>
  <si>
    <t xml:space="preserve">Reversibility</t>
  </si>
  <si>
    <t xml:space="preserve">Total bobot (harus 100%)</t>
  </si>
  <si>
    <t xml:space="preserve">SKOR TERTIMBANG</t>
  </si>
  <si>
    <t xml:space="preserve">Peringkat</t>
  </si>
  <si>
    <t xml:space="preserve">Reversibility check</t>
  </si>
  <si>
    <t xml:space="preserve">Opsi skor tertinggi</t>
  </si>
  <si>
    <t xml:space="preserve">Catatan: matriks adalah alat diskusi. Jika hasil terasa salah, cari kriteria yang belum tertangkap.</t>
  </si>
  <si>
    <t xml:space="preserve">Keputusan yang diuji</t>
  </si>
  <si>
    <t xml:space="preserve">Failure (apa yang salah)</t>
  </si>
  <si>
    <t xml:space="preserve">Why</t>
  </si>
  <si>
    <t xml:space="preserve">Warning sign</t>
  </si>
  <si>
    <t xml:space="preserve">Prevention (tindakan sekarang)</t>
  </si>
  <si>
    <t xml:space="preserve">Owner</t>
  </si>
  <si>
    <t xml:space="preserve">Due</t>
  </si>
  <si>
    <t xml:space="preserve">Likelihood 1–5</t>
  </si>
  <si>
    <t xml:space="preserve">Impact 1–5</t>
  </si>
  <si>
    <t xml:space="preserve">Risk score</t>
  </si>
  <si>
    <t xml:space="preserve">Prioritas</t>
  </si>
  <si>
    <t xml:space="preserve">Otomasi tidak dipakai staf</t>
  </si>
  <si>
    <t xml:space="preserve">Pelatihan minim</t>
  </si>
  <si>
    <t xml:space="preserve">Login sistem rendah di bulan 1</t>
  </si>
  <si>
    <t xml:space="preserve">Super-user per cabang + target adopsi mingguan</t>
  </si>
  <si>
    <t xml:space="preserve">Ops Head</t>
  </si>
  <si>
    <t xml:space="preserve">Opsi yang dipertimbangkan</t>
  </si>
  <si>
    <t xml:space="preserve">Evidence utama</t>
  </si>
  <si>
    <t xml:space="preserve">Diputuskan oleh</t>
  </si>
  <si>
    <t xml:space="preserve">Reversible?</t>
  </si>
  <si>
    <t xml:space="preserve">Review date</t>
  </si>
  <si>
    <t xml:space="preserve">Outcome</t>
  </si>
  <si>
    <t xml:space="preserve">Lesson learned</t>
  </si>
  <si>
    <t xml:space="preserve">Action</t>
  </si>
  <si>
    <t xml:space="preserve">Deadline</t>
  </si>
  <si>
    <t xml:space="preserve">Evidence</t>
  </si>
  <si>
    <t xml:space="preserve">Checkpoint</t>
  </si>
  <si>
    <t xml:space="preserve">Valid?</t>
  </si>
  <si>
    <t xml:space="preserve">Overdue?</t>
  </si>
  <si>
    <t xml:space="preserve">Pre-check dokumen kredit di RM</t>
  </si>
  <si>
    <t xml:space="preserve">Checklist terisi 100% berkas</t>
  </si>
  <si>
    <t xml:space="preserve">Mingguan</t>
  </si>
  <si>
    <t xml:space="preserve">On track</t>
  </si>
  <si>
    <t xml:space="preserve">Total action</t>
  </si>
  <si>
    <t xml:space="preserve">Done</t>
  </si>
  <si>
    <t xml:space="preserve">Action closure rate</t>
  </si>
  <si>
    <t xml:space="preserve">Overdue</t>
  </si>
  <si>
    <t xml:space="preserve">Tidak valid</t>
  </si>
  <si>
    <t xml:space="preserve">Waktu Delegate / Escalate / Defer (menit) →</t>
  </si>
  <si>
    <t xml:space="preserve">Kejadian</t>
  </si>
  <si>
    <t xml:space="preserve">Best</t>
  </si>
  <si>
    <t xml:space="preserve">Acceptable</t>
  </si>
  <si>
    <t xml:space="preserve">Menit Do</t>
  </si>
  <si>
    <t xml:space="preserve">Tim 1 pilihan</t>
  </si>
  <si>
    <t xml:space="preserve">Poin</t>
  </si>
  <si>
    <t xml:space="preserve">Tim 2 pilihan</t>
  </si>
  <si>
    <t xml:space="preserve">Tim 3 pilihan</t>
  </si>
  <si>
    <t xml:space="preserve">Tim 4 pilihan</t>
  </si>
  <si>
    <t xml:space="preserve">Nasabah prioritas komplain di hall</t>
  </si>
  <si>
    <t xml:space="preserve">Do</t>
  </si>
  <si>
    <t xml:space="preserve">Delegate</t>
  </si>
  <si>
    <t xml:space="preserve">Fraud alert transaksi tidak wajar</t>
  </si>
  <si>
    <t xml:space="preserve">Escalate</t>
  </si>
  <si>
    <t xml:space="preserve">Defer</t>
  </si>
  <si>
    <t xml:space="preserve">Review target funding mingguan</t>
  </si>
  <si>
    <t xml:space="preserve">Officer baru minta arahan</t>
  </si>
  <si>
    <t xml:space="preserve">Laporan regulator jatuh tempo hari ini</t>
  </si>
  <si>
    <t xml:space="preserve">Kantor wilayah minta data 1 jam</t>
  </si>
  <si>
    <t xml:space="preserve">Teller selisih kas</t>
  </si>
  <si>
    <t xml:space="preserve">Prospek kredit besar minta bertemu</t>
  </si>
  <si>
    <t xml:space="preserve">ATM offline</t>
  </si>
  <si>
    <t xml:space="preserve">Dua staf konflik</t>
  </si>
  <si>
    <t xml:space="preserve">Temuan audit lewat tenggat</t>
  </si>
  <si>
    <t xml:space="preserve">Vendor menagih dokumen kontrak</t>
  </si>
  <si>
    <t xml:space="preserve">Undangan meeting tanpa agenda</t>
  </si>
  <si>
    <t xml:space="preserve">Nasabah minta restrukturisasi</t>
  </si>
  <si>
    <t xml:space="preserve">Grup chat ramai 80 pesan</t>
  </si>
  <si>
    <t xml:space="preserve">Staf terbaik ingin resign</t>
  </si>
  <si>
    <t xml:space="preserve">Approval kredit menumpuk 6 berkas</t>
  </si>
  <si>
    <t xml:space="preserve">Media sosial menyebut cabang</t>
  </si>
  <si>
    <t xml:space="preserve">Sistem lambat saat jam sibuk</t>
  </si>
  <si>
    <t xml:space="preserve">Coaching terjadwal 30 menit</t>
  </si>
  <si>
    <t xml:space="preserve">Ringkasan</t>
  </si>
  <si>
    <t xml:space="preserve">Tim 1</t>
  </si>
  <si>
    <t xml:space="preserve">Tim 2</t>
  </si>
  <si>
    <t xml:space="preserve">Tim 3</t>
  </si>
  <si>
    <t xml:space="preserve">Tim 4</t>
  </si>
  <si>
    <t xml:space="preserve">Total menit</t>
  </si>
  <si>
    <t xml:space="preserve">Risk Penalty</t>
  </si>
  <si>
    <t xml:space="preserve">Execution Penalty</t>
  </si>
  <si>
    <t xml:space="preserve">Balance Index (min/max)</t>
  </si>
  <si>
    <t xml:space="preserve">Aturan: Best +10, Acceptable +5. Defer pada kejadian Risk −10. Menit &gt; 480 = −15. Escalate+Defer &gt; 8 kali = −10 (terlalu hati-hati). Contoh pilihan Tim 1–2 baris awal boleh dihapus.</t>
  </si>
  <si>
    <t xml:space="preserve">Budget</t>
  </si>
  <si>
    <t xml:space="preserve">Biaya switching</t>
  </si>
  <si>
    <t xml:space="preserve">Program</t>
  </si>
  <si>
    <t xml:space="preserve">Benefit dasar</t>
  </si>
  <si>
    <t xml:space="preserve">Risk 1–3</t>
  </si>
  <si>
    <t xml:space="preserve">Uncert. 1–3</t>
  </si>
  <si>
    <t xml:space="preserve">Faktor R1</t>
  </si>
  <si>
    <t xml:space="preserve">Faktor R2</t>
  </si>
  <si>
    <t xml:space="preserve">Faktor R3</t>
  </si>
  <si>
    <t xml:space="preserve">T1 R0</t>
  </si>
  <si>
    <t xml:space="preserve">R1</t>
  </si>
  <si>
    <t xml:space="preserve">R2</t>
  </si>
  <si>
    <t xml:space="preserve">R3</t>
  </si>
  <si>
    <t xml:space="preserve">T2 R0</t>
  </si>
  <si>
    <t xml:space="preserve">T3 R0</t>
  </si>
  <si>
    <t xml:space="preserve">T4 R0</t>
  </si>
  <si>
    <t xml:space="preserve">Benefit akhir</t>
  </si>
  <si>
    <t xml:space="preserve">Training</t>
  </si>
  <si>
    <t xml:space="preserve">Marketing campaign</t>
  </si>
  <si>
    <t xml:space="preserve">Collection improvement</t>
  </si>
  <si>
    <t xml:space="preserve">System upgrade</t>
  </si>
  <si>
    <t xml:space="preserve">Benefit akhir (setelah R3)</t>
  </si>
  <si>
    <t xml:space="preserve">Info R1</t>
  </si>
  <si>
    <t xml:space="preserve">Vendor otomasi terlambat 6 bulan; upgrade sistem tertunda.</t>
  </si>
  <si>
    <t xml:space="preserve">Info R2</t>
  </si>
  <si>
    <t xml:space="preserve">NPL naik di segmen mikro.</t>
  </si>
  <si>
    <t xml:space="preserve">Info R3</t>
  </si>
  <si>
    <t xml:space="preserve">Dua staf senior resign.</t>
  </si>
  <si>
    <t xml:space="preserve">Ringkasan per tim</t>
  </si>
  <si>
    <t xml:space="preserve">Biaya R0</t>
  </si>
  <si>
    <t xml:space="preserve">Biaya R3</t>
  </si>
  <si>
    <t xml:space="preserve">Jumlah program R3</t>
  </si>
  <si>
    <t xml:space="preserve">Cek aturan R3</t>
  </si>
  <si>
    <t xml:space="preserve">Biaya switching total</t>
  </si>
  <si>
    <t xml:space="preserve">Exposure risiko</t>
  </si>
  <si>
    <t xml:space="preserve">NET SCORE</t>
  </si>
  <si>
    <t xml:space="preserve">NET SCORE = benefit akhir − biaya program − biaya switching. Pelanggaran aturan (budget/maks 3) = 0.</t>
  </si>
  <si>
    <t xml:space="preserve">Maks</t>
  </si>
  <si>
    <t xml:space="preserve">Rendah</t>
  </si>
  <si>
    <t xml:space="preserve">Sedang</t>
  </si>
  <si>
    <t xml:space="preserve">Tinggi</t>
  </si>
  <si>
    <t xml:space="preserve">Tim 5</t>
  </si>
  <si>
    <t xml:space="preserve">Tim 6</t>
  </si>
  <si>
    <t xml:space="preserve">Self Leadership</t>
  </si>
  <si>
    <t xml:space="preserve">Panik, saling menyalahkan</t>
  </si>
  <si>
    <t xml:space="preserve">Tenang, sebagian ownership</t>
  </si>
  <si>
    <t xml:space="preserve">Tenang, ownership jelas, accountable</t>
  </si>
  <si>
    <t xml:space="preserve">Priority</t>
  </si>
  <si>
    <t xml:space="preserve">Semua dikerjakan bersamaan</t>
  </si>
  <si>
    <t xml:space="preserve">Prioritas ada, tidak diperbarui</t>
  </si>
  <si>
    <t xml:space="preserve">P1–P4 jelas &amp; diperbarui tiap event</t>
  </si>
  <si>
    <t xml:space="preserve">Melewati timebox</t>
  </si>
  <si>
    <t xml:space="preserve">Timebox sebagian</t>
  </si>
  <si>
    <t xml:space="preserve">Timebox disiplin, ada buffer</t>
  </si>
  <si>
    <t xml:space="preserve">Menyimpulkan tanpa data</t>
  </si>
  <si>
    <t xml:space="preserve">Sebagian berbasis evidence</t>
  </si>
  <si>
    <t xml:space="preserve">Fakta vs asumsi dipisah, root cause dicari</t>
  </si>
  <si>
    <t xml:space="preserve">Decision Quality</t>
  </si>
  <si>
    <t xml:space="preserve">Satu opsi, tanpa trade-off</t>
  </si>
  <si>
    <t xml:space="preserve">Opsi ada, trade-off lemah</t>
  </si>
  <si>
    <t xml:space="preserve">≥3 opsi, trade-off &amp; reversibility dinilai</t>
  </si>
  <si>
    <t xml:space="preserve">Risk Awareness</t>
  </si>
  <si>
    <t xml:space="preserve">Fraud/compliance ditunda</t>
  </si>
  <si>
    <t xml:space="preserve">Risiko dicatat, tidak dieskalasi</t>
  </si>
  <si>
    <t xml:space="preserve">Eskalasi tepat waktu ke fungsi terkait</t>
  </si>
  <si>
    <t xml:space="preserve">Semua dikerjakan pimpinan</t>
  </si>
  <si>
    <t xml:space="preserve">Delegasi tanpa outcome jelas</t>
  </si>
  <si>
    <t xml:space="preserve">Delegation contract &amp; RACI jelas</t>
  </si>
  <si>
    <t xml:space="preserve">Tanpa action tracker</t>
  </si>
  <si>
    <t xml:space="preserve">Tracker tanpa owner/evidence</t>
  </si>
  <si>
    <t xml:space="preserve">Owner, deadline, evidence, checkpoint lengkap</t>
  </si>
  <si>
    <t xml:space="preserve">TOTAL</t>
  </si>
  <si>
    <t xml:space="preserve">Dimensi terlemah (%)</t>
  </si>
  <si>
    <t xml:space="preserve">Skor normal (% dari maks)</t>
  </si>
  <si>
    <t xml:space="preserve">Presenter</t>
  </si>
  <si>
    <t xml:space="preserve">Clarity</t>
  </si>
  <si>
    <t xml:space="preserve">Logic</t>
  </si>
  <si>
    <t xml:space="preserve">Recommendation</t>
  </si>
  <si>
    <t xml:space="preserve">Total /30</t>
  </si>
  <si>
    <t xml:space="preserve">%</t>
  </si>
  <si>
    <t xml:space="preserve">B</t>
  </si>
  <si>
    <t xml:space="preserve">D</t>
  </si>
  <si>
    <t xml:space="preserve">Kunci</t>
  </si>
  <si>
    <t xml:space="preserve">Pekerjaan penting tetapi tidak mendesak (mis. coaching tim) masuk kuadran Eisenhower…</t>
  </si>
  <si>
    <t xml:space="preserve">DO</t>
  </si>
  <si>
    <t xml:space="preserve">PLAN</t>
  </si>
  <si>
    <t xml:space="preserve">DELEGATE</t>
  </si>
  <si>
    <t xml:space="preserve">ELIMINATE</t>
  </si>
  <si>
    <t xml:space="preserve">Dalam Banking Priority Scorecard, pekerjaan dengan Risk/Compliance Impact = 5 otomatis menjadi…</t>
  </si>
  <si>
    <t xml:space="preserve">Porsi buffer yang dianjurkan dari total jam kerja mingguan adalah…</t>
  </si>
  <si>
    <t xml:space="preserve">0–5%</t>
  </si>
  <si>
    <t xml:space="preserve">15–20%</t>
  </si>
  <si>
    <t xml:space="preserve">30–40%</t>
  </si>
  <si>
    <t xml:space="preserve">50%</t>
  </si>
  <si>
    <t xml:space="preserve">"Nasabah ini aman karena sudah 15 tahun menjadi nasabah" adalah contoh…</t>
  </si>
  <si>
    <t xml:space="preserve">Fact</t>
  </si>
  <si>
    <t xml:space="preserve">Conclusion</t>
  </si>
  <si>
    <t xml:space="preserve">Elemen Delegation Contract yang memastikan pekerjaan bisa dinyatakan selesai adalah…</t>
  </si>
  <si>
    <t xml:space="preserve">Boundary</t>
  </si>
  <si>
    <t xml:space="preserve">Level delegasi ketika staf boleh memutuskan lalu menginformasikan ke atasan adalah…</t>
  </si>
  <si>
    <t xml:space="preserve">L2 Analyze</t>
  </si>
  <si>
    <t xml:space="preserve">L3 Recommend</t>
  </si>
  <si>
    <t xml:space="preserve">L5 Own</t>
  </si>
  <si>
    <t xml:space="preserve">L4 Decide &amp; inform</t>
  </si>
  <si>
    <t xml:space="preserve">Pada GROW, tahap "Apa yang sudah terjadi sejauh ini?" termasuk…</t>
  </si>
  <si>
    <t xml:space="preserve">Contoh feedback SBI yang tepat adalah…</t>
  </si>
  <si>
    <t xml:space="preserve">"Kamu kurang teliti."</t>
  </si>
  <si>
    <t xml:space="preserve">"Pada laporan kemarin, dua angka belum direkonsiliasi sehingga review diulang."</t>
  </si>
  <si>
    <t xml:space="preserve">"Tolong lebih baik lagi ya."</t>
  </si>
  <si>
    <t xml:space="preserve">"Kinerja kamu mengecewakan."</t>
  </si>
  <si>
    <t xml:space="preserve">Tujuan utama teknik 5 Whys adalah…</t>
  </si>
  <si>
    <t xml:space="preserve">Mencari pihak yang salah</t>
  </si>
  <si>
    <t xml:space="preserve">Mempercepat rapat</t>
  </si>
  <si>
    <t xml:space="preserve">Menembus symptom menuju root cause</t>
  </si>
  <si>
    <t xml:space="preserve">Membuat daftar solusi</t>
  </si>
  <si>
    <t xml:space="preserve">Yang BUKAN kategori fishbone dalam training ini adalah…</t>
  </si>
  <si>
    <t xml:space="preserve">Luck</t>
  </si>
  <si>
    <t xml:space="preserve">Memilih opsi karena "Direktur menyukai opsi A" tanpa menguji data adalah…</t>
  </si>
  <si>
    <t xml:space="preserve">Authority bias</t>
  </si>
  <si>
    <t xml:space="preserve">Recency bias</t>
  </si>
  <si>
    <t xml:space="preserve">Sunk cost</t>
  </si>
  <si>
    <t xml:space="preserve">Terus mendanai proyek gagal karena "sudah terlanjur keluar biaya besar" adalah…</t>
  </si>
  <si>
    <t xml:space="preserve">Halo effect</t>
  </si>
  <si>
    <t xml:space="preserve">Availability bias</t>
  </si>
  <si>
    <t xml:space="preserve">Prinsip MECE berarti pemecahan masalah harus…</t>
  </si>
  <si>
    <t xml:space="preserve">Singkat dan menarik</t>
  </si>
  <si>
    <t xml:space="preserve">Saling lepas dan menyeluruh</t>
  </si>
  <si>
    <t xml:space="preserve">Berbasis opini senior</t>
  </si>
  <si>
    <t xml:space="preserve">Selalu 3 cabang</t>
  </si>
  <si>
    <t xml:space="preserve">Pre-mortem paling tepat dilakukan…</t>
  </si>
  <si>
    <t xml:space="preserve">Setelah proyek gagal</t>
  </si>
  <si>
    <t xml:space="preserve">Saat audit tahunan</t>
  </si>
  <si>
    <t xml:space="preserve">Sebelum keputusan dieksekusi</t>
  </si>
  <si>
    <t xml:space="preserve">Hanya untuk proyek IT</t>
  </si>
  <si>
    <t xml:space="preserve">Slow thinking (analisis mendalam) paling diperlukan untuk keputusan yang…</t>
  </si>
  <si>
    <t xml:space="preserve">Kecil dan mudah dibalik</t>
  </si>
  <si>
    <t xml:space="preserve">Rutin harian</t>
  </si>
  <si>
    <t xml:space="preserve">Sudah ada SOP-nya</t>
  </si>
  <si>
    <t xml:space="preserve">Besar dan sulit dibalik</t>
  </si>
  <si>
    <t xml:space="preserve">Urutan PAUSE yang benar adalah…</t>
  </si>
  <si>
    <t xml:space="preserve">Pause–Assess–Prioritize–Decide–Act–Monitor</t>
  </si>
  <si>
    <t xml:space="preserve">Act–Decide–Pause–Monitor</t>
  </si>
  <si>
    <t xml:space="preserve">Assess–Act–Pause–Decide</t>
  </si>
  <si>
    <t xml:space="preserve">Decide–Act–Assess–Pause</t>
  </si>
  <si>
    <t xml:space="preserve">Struktur SFAIRA untuk presentasi 60 detik diawali dengan…</t>
  </si>
  <si>
    <t xml:space="preserve">Recommendation, Action</t>
  </si>
  <si>
    <t xml:space="preserve">Situation, Fact</t>
  </si>
  <si>
    <t xml:space="preserve">Analysis, Implication</t>
  </si>
  <si>
    <t xml:space="preserve">Risk, Budget</t>
  </si>
  <si>
    <t xml:space="preserve">Prinsip Action Tracker: "No owner = …"</t>
  </si>
  <si>
    <t xml:space="preserve">No deadline</t>
  </si>
  <si>
    <t xml:space="preserve">No evidence</t>
  </si>
  <si>
    <t xml:space="preserve">No action</t>
  </si>
  <si>
    <t xml:space="preserve">No budget</t>
  </si>
  <si>
    <t xml:space="preserve">Dalam satu baris RACI, jumlah Accountable (A) yang benar adalah…</t>
  </si>
  <si>
    <t xml:space="preserve">Tidak dibatasi</t>
  </si>
  <si>
    <t xml:space="preserve">Minimal 2</t>
  </si>
  <si>
    <t xml:space="preserve">Sama dengan jumlah R</t>
  </si>
  <si>
    <t xml:space="preserve">Tepat 1</t>
  </si>
  <si>
    <t xml:space="preserve">Cara terbaik membuktikan training berdampak adalah…</t>
  </si>
  <si>
    <t xml:space="preserve">Skor kepuasan peserta</t>
  </si>
  <si>
    <t xml:space="preserve">Metrik perilaku before vs after</t>
  </si>
  <si>
    <t xml:space="preserve">Jumlah slide</t>
  </si>
  <si>
    <t xml:space="preserve">Durasi training</t>
  </si>
  <si>
    <t xml:space="preserve">Nama Peserta</t>
  </si>
  <si>
    <t xml:space="preserve">Tes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</si>
  <si>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</si>
  <si>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</si>
  <si>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</si>
  <si>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</si>
  <si>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</si>
  <si>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</si>
  <si>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</si>
  <si>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</si>
  <si>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</si>
  <si>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</si>
  <si>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</si>
  <si>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</si>
  <si>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</si>
  <si>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</si>
  <si>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</si>
  <si>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</si>
  <si>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</si>
  <si>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</si>
  <si>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</si>
  <si>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</si>
  <si>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KUNCI</t>
  </si>
  <si>
    <t xml:space="preserve">Pre</t>
  </si>
  <si>
    <t xml:space="preserve">Post</t>
  </si>
  <si>
    <t xml:space="preserve">Rata Pre</t>
  </si>
  <si>
    <t xml:space="preserve">Rata Post</t>
  </si>
  <si>
    <t xml:space="preserve">Gain</t>
  </si>
  <si>
    <t xml:space="preserve">% peserta naik</t>
  </si>
  <si>
    <t xml:space="preserve">Atasan langsung</t>
  </si>
  <si>
    <t xml:space="preserve">Tanggal mulai</t>
  </si>
  <si>
    <t xml:space="preserve">D7 Self Review</t>
  </si>
  <si>
    <t xml:space="preserve">D14 Manager Check-in</t>
  </si>
  <si>
    <t xml:space="preserve">D30 Impact Review</t>
  </si>
  <si>
    <t xml:space="preserve">Target 1</t>
  </si>
  <si>
    <t xml:space="preserve">Target 2</t>
  </si>
  <si>
    <t xml:space="preserve">Target 3</t>
  </si>
  <si>
    <t xml:space="preserve">Behavioral target</t>
  </si>
  <si>
    <t xml:space="preserve">Current behavior</t>
  </si>
  <si>
    <t xml:space="preserve">Desired behavior</t>
  </si>
  <si>
    <t xml:space="preserve">Action (spesifik, mingguan)</t>
  </si>
  <si>
    <t xml:space="preserve">Measure (angka)</t>
  </si>
  <si>
    <t xml:space="preserve">Barrier</t>
  </si>
  <si>
    <t xml:space="preserve">Support needed</t>
  </si>
  <si>
    <t xml:space="preserve">Semua laporan mingguan saya kerjakan sendiri</t>
  </si>
  <si>
    <t xml:space="preserve">Laporan disusun staf (L3), saya review</t>
  </si>
  <si>
    <t xml:space="preserve">Kontrak delegasi dengan 2 staf; checkpoint Rabu</t>
  </si>
  <si>
    <t xml:space="preserve">Jam saya untuk laporan: 6 → 2 jam/minggu</t>
  </si>
  <si>
    <t xml:space="preserve">Kualitas awal belum stabil</t>
  </si>
  <si>
    <t xml:space="preserve">Template laporan dari atasan</t>
  </si>
  <si>
    <t xml:space="preserve">D30</t>
  </si>
  <si>
    <t xml:space="preserve">1. Apa perilaku yang berubah?</t>
  </si>
  <si>
    <t xml:space="preserve">2. Apa hasilnya?</t>
  </si>
  <si>
    <t xml:space="preserve">3. Apa contoh nyata?</t>
  </si>
  <si>
    <t xml:space="preserve">4. Apa hambatan?</t>
  </si>
  <si>
    <t xml:space="preserve">5. Apa behavioral target berikutnya?</t>
  </si>
  <si>
    <t xml:space="preserve">Progres target (0–100%)</t>
  </si>
  <si>
    <t xml:space="preserve">Tips manager</t>
  </si>
  <si>
    <t xml:space="preserve">Tanya contoh nyata, bukan niat.</t>
  </si>
  <si>
    <t xml:space="preserve">Gunakan SBI saat memberi feedback.</t>
  </si>
  <si>
    <t xml:space="preserve">Gunakan GROW, jangan langsung memberi solusi.</t>
  </si>
  <si>
    <t xml:space="preserve">Akui progres kecil secara spesifik.</t>
  </si>
  <si>
    <t xml:space="preserve">Sepakati satu tindakan dan tanggal berikutnya.</t>
  </si>
  <si>
    <t xml:space="preserve">Metrik</t>
  </si>
  <si>
    <t xml:space="preserve">Satuan</t>
  </si>
  <si>
    <t xml:space="preserve">Arah baik</t>
  </si>
  <si>
    <t xml:space="preserve">Baseline</t>
  </si>
  <si>
    <t xml:space="preserve">Day 30</t>
  </si>
  <si>
    <t xml:space="preserve">% perubahan</t>
  </si>
  <si>
    <t xml:space="preserve">Membaik?</t>
  </si>
  <si>
    <t xml:space="preserve">Overdue task</t>
  </si>
  <si>
    <t xml:space="preserve">jumlah</t>
  </si>
  <si>
    <t xml:space="preserve">Turun</t>
  </si>
  <si>
    <t xml:space="preserve">Decision turnaround time</t>
  </si>
  <si>
    <t xml:space="preserve">hari</t>
  </si>
  <si>
    <t xml:space="preserve">Unnecessary meeting hours</t>
  </si>
  <si>
    <t xml:space="preserve">jam/minggu</t>
  </si>
  <si>
    <t xml:space="preserve">Delegation frequency</t>
  </si>
  <si>
    <t xml:space="preserve">tugas/minggu</t>
  </si>
  <si>
    <t xml:space="preserve">Naik</t>
  </si>
  <si>
    <t xml:space="preserve">Rework</t>
  </si>
  <si>
    <t xml:space="preserve">kali/bulan</t>
  </si>
  <si>
    <t xml:space="preserve">Escalation quality</t>
  </si>
  <si>
    <t xml:space="preserve">skor 1–5</t>
  </si>
  <si>
    <t xml:space="preserve">Team follow-up</t>
  </si>
  <si>
    <t xml:space="preserve">kali/minggu</t>
  </si>
  <si>
    <t xml:space="preserve">Focus time</t>
  </si>
  <si>
    <t xml:space="preserve">Jumlah metrik membaik</t>
  </si>
  <si>
    <t xml:space="preserve">After Action Review</t>
  </si>
  <si>
    <t xml:space="preserve">Apa yang seharusnya terjadi?</t>
  </si>
  <si>
    <t xml:space="preserve">Mengapa ada perbedaan?</t>
  </si>
  <si>
    <t xml:space="preserve">Apa yang dipelajari / dilakukan berbeda?</t>
  </si>
  <si>
    <t xml:space="preserve">Stop – Start – Continue</t>
  </si>
  <si>
    <t xml:space="preserve">STOP — perilaku yang harus dihentikan</t>
  </si>
  <si>
    <t xml:space="preserve">START — perilaku baru yang dimulai</t>
  </si>
  <si>
    <t xml:space="preserve">CONTINUE — perilaku yang dipertahankan</t>
  </si>
  <si>
    <t xml:space="preserve">Final Reflection</t>
  </si>
  <si>
    <t xml:space="preserve">What surprised me?</t>
  </si>
  <si>
    <t xml:space="preserve">What mistake did I make?</t>
  </si>
  <si>
    <t xml:space="preserve">What behavior must I stop?</t>
  </si>
  <si>
    <t xml:space="preserve">What should I start?</t>
  </si>
  <si>
    <t xml:space="preserve">What should I continue?</t>
  </si>
  <si>
    <t xml:space="preserve">What will I do differently on Monday?</t>
  </si>
  <si>
    <t xml:space="preserve">Game 1 · Leadership Mirror — kartu situasi (respon A–E dibacakan trainer)</t>
  </si>
  <si>
    <t xml:space="preserve">Situasi</t>
  </si>
  <si>
    <t xml:space="preserve">A Reactive / B Control</t>
  </si>
  <si>
    <t xml:space="preserve">C Avoiding</t>
  </si>
  <si>
    <t xml:space="preserve">D Accountable / E Empowering</t>
  </si>
  <si>
    <t xml:space="preserve">Deadline terlewat: laporan bulanan ke kantor pusat telat</t>
  </si>
  <si>
    <t xml:space="preserve">A: bereaksi emosional, menegur di depan umum · B: ambil alih dan kerjakan sendiri</t>
  </si>
  <si>
    <t xml:space="preserve">C: menunda, tunggu masalah hilang, tidak eskalasi</t>
  </si>
  <si>
    <t xml:space="preserve">D: akui, cari akar, tetapkan tindakan · E: beri ruang tim menyelesaikan, pantau</t>
  </si>
  <si>
    <t xml:space="preserve">Staf salah input data nasabah</t>
  </si>
  <si>
    <t xml:space="preserve">Funding baru 70% di minggu ke-3</t>
  </si>
  <si>
    <t xml:space="preserve">Nasabah komplain keras di banking hall</t>
  </si>
  <si>
    <t xml:space="preserve">Migrasi sistem mundur 2 minggu</t>
  </si>
  <si>
    <t xml:space="preserve">Audit finding lewat batas komitmen</t>
  </si>
  <si>
    <t xml:space="preserve">Dua senior officer saling menyalahkan</t>
  </si>
  <si>
    <t xml:space="preserve">Atasan minta data 1 jam lagi</t>
  </si>
  <si>
    <t xml:space="preserve">Staf berprestasi resign: merasa tidak berkembang</t>
  </si>
  <si>
    <t xml:space="preserve">Arahan baru dari kantor pusat tanpa detail</t>
  </si>
  <si>
    <t xml:space="preserve">Game 3 · Priority Poker — kartu aktivitas, twist, dan kunci</t>
  </si>
  <si>
    <t xml:space="preserve">Kartu aktivitas</t>
  </si>
  <si>
    <t xml:space="preserve">Level awal (kunci)</t>
  </si>
  <si>
    <t xml:space="preserve">Kartu twist → level akhir</t>
  </si>
  <si>
    <t xml:space="preserve">Komplain nasabah prioritas via call center</t>
  </si>
  <si>
    <t xml:space="preserve">Komplain ternyata viral di media sosial → P1</t>
  </si>
  <si>
    <t xml:space="preserve">Laporan kepatuhan bulanan</t>
  </si>
  <si>
    <t xml:space="preserve">Regulator meminta pukul 12.00 hari ini → P1</t>
  </si>
  <si>
    <t xml:space="preserve">Transaksi abnormal di rekening nasabah</t>
  </si>
  <si>
    <t xml:space="preserve">Ternyata dilakukan staf internal → P1, eskalasi anti-fraud</t>
  </si>
  <si>
    <t xml:space="preserve">Review target bisnis bulanan</t>
  </si>
  <si>
    <t xml:space="preserve">Tidak berubah (tetap P2)</t>
  </si>
  <si>
    <t xml:space="preserve">Coaching staf baru</t>
  </si>
  <si>
    <t xml:space="preserve">P3→P2</t>
  </si>
  <si>
    <t xml:space="preserve">Staf baru akan pegang counter sendiri besok → P2</t>
  </si>
  <si>
    <t xml:space="preserve">Undangan rapat koordinasi rutin</t>
  </si>
  <si>
    <t xml:space="preserve">Agenda tidak jelas → tetap P4 / tolak</t>
  </si>
  <si>
    <t xml:space="preserve">Approval kredit dengan dokumen lengkap</t>
  </si>
  <si>
    <t xml:space="preserve">Nasabah ancam pindah bank → P1 bila SLA terlewat</t>
  </si>
  <si>
    <t xml:space="preserve">Grup WhatsApp ramai diskusi umum</t>
  </si>
  <si>
    <t xml:space="preserve">Tetap P4 — batch 2× sehari</t>
  </si>
  <si>
    <t xml:space="preserve">Game 4 · Calendar Tetris — kartu jadwal &amp; disrupsi (disrupsi dibuka setelah kalender pertama jadi)</t>
  </si>
  <si>
    <t xml:space="preserve">Kartu</t>
  </si>
  <si>
    <t xml:space="preserve">Fixed</t>
  </si>
  <si>
    <t xml:space="preserve">Rapat komite kredit Selasa 09.00–11.00</t>
  </si>
  <si>
    <t xml:space="preserve">Kunjungan nasabah korporasi Rabu 14.00</t>
  </si>
  <si>
    <t xml:space="preserve">Laporan kepatuhan Kamis 12.00</t>
  </si>
  <si>
    <t xml:space="preserve">Task</t>
  </si>
  <si>
    <t xml:space="preserve">Analisis 3 berkas kredit (3 jam)</t>
  </si>
  <si>
    <t xml:space="preserve">Coaching 2 staf (2 × 45 menit)</t>
  </si>
  <si>
    <t xml:space="preserve">Approval transaksi harian (30 menit/hari)</t>
  </si>
  <si>
    <t xml:space="preserve">Request</t>
  </si>
  <si>
    <t xml:space="preserve">Management minta paparan kinerja Jumat</t>
  </si>
  <si>
    <t xml:space="preserve">Deep work: rencana strategi cabang (2 jam)</t>
  </si>
  <si>
    <t xml:space="preserve">Disrupsi 1</t>
  </si>
  <si>
    <t xml:space="preserve">System down Rabu pagi 2 jam</t>
  </si>
  <si>
    <t xml:space="preserve">Disrupsi 2</t>
  </si>
  <si>
    <t xml:space="preserve">Satu staf absen Kamis</t>
  </si>
  <si>
    <t xml:space="preserve">Disrupsi 3</t>
  </si>
  <si>
    <t xml:space="preserve">Urgent customer datang Selasa siang</t>
  </si>
  <si>
    <t xml:space="preserve">Disrupsi 4</t>
  </si>
  <si>
    <t xml:space="preserve">Regulator request data Jumat pagi</t>
  </si>
  <si>
    <t xml:space="preserve">Game 5 · Delegation Relay — amplop instruksi leader</t>
  </si>
  <si>
    <t xml:space="preserve">Bagian</t>
  </si>
  <si>
    <t xml:space="preserve">Tugas</t>
  </si>
  <si>
    <t xml:space="preserve">Siapkan paket presentasi 'Rencana perbaikan layanan cabang' dalam 20 menit: (1) ringkasan 5 komplain teratas, (2) 3 opsi perbaikan dengan biaya, (3) timeline 4 minggu, (4) satu poster A3 untuk banking hall.</t>
  </si>
  <si>
    <t xml:space="preserve">Leader dilarang menulis/menggambar. Leader hanya boleh menjelaskan, bertanya, dan memeriksa di checkpoint.</t>
  </si>
  <si>
    <t xml:space="preserve">Observer cek</t>
  </si>
  <si>
    <t xml:space="preserve">What · Why · Expected outcome · Authority · Boundary · Deadline · Checkpoint · Evidence (centang yang disampaikan leader)</t>
  </si>
  <si>
    <t xml:space="preserve">Game 6 · Fact or Fiction — kartu pernyataan</t>
  </si>
  <si>
    <t xml:space="preserve">Kunci zona</t>
  </si>
  <si>
    <t xml:space="preserve">Data tambahan (dibuka trainer)</t>
  </si>
  <si>
    <t xml:space="preserve">Cabang gagal capai target karena staf malas</t>
  </si>
  <si>
    <t xml:space="preserve">Kunjungan nasabah turun; 2 RM cuti panjang</t>
  </si>
  <si>
    <t xml:space="preserve">Nasabah ini aman karena sudah 15 tahun</t>
  </si>
  <si>
    <t xml:space="preserve">Pola transaksi berubah drastis 3 bulan terakhir</t>
  </si>
  <si>
    <t xml:space="preserve">Complaint naik karena aplikasi baru</t>
  </si>
  <si>
    <t xml:space="preserve">Unknown</t>
  </si>
  <si>
    <t xml:space="preserve">Kenaikan juga terjadi di kanal non-aplikasi</t>
  </si>
  <si>
    <t xml:space="preserve">Kenaikan terkonsentrasi pada satu produk dan satu periode pencairan</t>
  </si>
  <si>
    <t xml:space="preserve">Funding cabang turun 8% dibanding bulan lalu (laporan core banking)</t>
  </si>
  <si>
    <t xml:space="preserve">Data tervalidasi dari sistem</t>
  </si>
  <si>
    <t xml:space="preserve">Nasabah muda tidak suka datang ke cabang</t>
  </si>
  <si>
    <t xml:space="preserve">Opinion</t>
  </si>
  <si>
    <t xml:space="preserve">Data kunjungan per usia belum pernah dianalisis</t>
  </si>
  <si>
    <t xml:space="preserve">Game 7 · Detective Room — 12 evidence card (TAT kredit naik 40%)</t>
  </si>
  <si>
    <t xml:space="preserve">Topik pertanyaan</t>
  </si>
  <si>
    <t xml:space="preserve">Kategori (trainer)</t>
  </si>
  <si>
    <t xml:space="preserve">Volume aplikasi</t>
  </si>
  <si>
    <t xml:space="preserve">Volume naik tipis (±5%), tidak sebanding kenaikan TAT 40%</t>
  </si>
  <si>
    <t xml:space="preserve">Relevan</t>
  </si>
  <si>
    <t xml:space="preserve">Waktu per tahap</t>
  </si>
  <si>
    <t xml:space="preserve">Tahap verifikasi dokumen paling lama</t>
  </si>
  <si>
    <t xml:space="preserve">Kapasitas tim</t>
  </si>
  <si>
    <t xml:space="preserve">Satu analis senior pindah unit 2 bulan lalu</t>
  </si>
  <si>
    <t xml:space="preserve">Perubahan kebijakan</t>
  </si>
  <si>
    <t xml:space="preserve">Checklist dokumen baru berlaku bulan lalu</t>
  </si>
  <si>
    <t xml:space="preserve">Data rework</t>
  </si>
  <si>
    <t xml:space="preserve">Banyak berkas dikembalikan karena dokumen kurang</t>
  </si>
  <si>
    <t xml:space="preserve">Segmen</t>
  </si>
  <si>
    <t xml:space="preserve">Kenaikan TAT terbesar pada kredit produktif</t>
  </si>
  <si>
    <t xml:space="preserve">Sistem</t>
  </si>
  <si>
    <t xml:space="preserve">Tidak ada downtime signifikan di LOS</t>
  </si>
  <si>
    <t xml:space="preserve">Pengecoh</t>
  </si>
  <si>
    <t xml:space="preserve">Appraisal</t>
  </si>
  <si>
    <t xml:space="preserve">SLA appraiser eksternal stabil</t>
  </si>
  <si>
    <t xml:space="preserve">Komite</t>
  </si>
  <si>
    <t xml:space="preserve">Jadwal komite tidak berubah</t>
  </si>
  <si>
    <t xml:space="preserve">Kepuasan RM</t>
  </si>
  <si>
    <t xml:space="preserve">RM mengeluh harus mengulang permintaan dokumen</t>
  </si>
  <si>
    <t xml:space="preserve">Sosialisasi</t>
  </si>
  <si>
    <t xml:space="preserve">Checklist baru tidak disosialisasikan ke nasabah/RM</t>
  </si>
  <si>
    <t xml:space="preserve">Benchmark</t>
  </si>
  <si>
    <t xml:space="preserve">Cabang lain dengan analis lengkap TAT naik hanya 10%</t>
  </si>
  <si>
    <t xml:space="preserve">Kunci: bottleneck di verifikasi dokumen akibat checklist baru tanpa sosialisasi + berkurangnya satu analis senior. Bukan semata kenaikan volume.</t>
  </si>
  <si>
    <t xml:space="preserve">Game 8 · Root Cause Race — data pendukung (complaint naik 40%)</t>
  </si>
  <si>
    <t xml:space="preserve">Per kategori</t>
  </si>
  <si>
    <t xml:space="preserve">Keluhan 'proses lama' naik 70%; kategori lain stabil</t>
  </si>
  <si>
    <t xml:space="preserve">Per kanal</t>
  </si>
  <si>
    <t xml:space="preserve">Kenaikan di cabang dan call center, bukan hanya aplikasi</t>
  </si>
  <si>
    <t xml:space="preserve">Per bulan</t>
  </si>
  <si>
    <t xml:space="preserve">Kenaikan mulai setelah jam layanan teller dikurangi</t>
  </si>
  <si>
    <t xml:space="preserve">Per produk</t>
  </si>
  <si>
    <t xml:space="preserve">Konsentrasi pada pembukaan rekening dan update data</t>
  </si>
  <si>
    <t xml:space="preserve">Proses</t>
  </si>
  <si>
    <t xml:space="preserve">Antrean CS rata-rata 35 menit (sebelumnya 15)</t>
  </si>
  <si>
    <t xml:space="preserve">Dua CS dipindah ke unit funding</t>
  </si>
  <si>
    <t xml:space="preserve">Game 9 · Bias Trap — kartu keputusan</t>
  </si>
  <si>
    <t xml:space="preserve">Bias (kunci)</t>
  </si>
  <si>
    <t xml:space="preserve">Better question (kunci)</t>
  </si>
  <si>
    <t xml:space="preserve">Nasabah VIP sudah lama menjadi nasabah</t>
  </si>
  <si>
    <t xml:space="preserve">Apa yang berubah pada kondisi usahanya sekarang?</t>
  </si>
  <si>
    <t xml:space="preserve">Direktur menyukai opsi A</t>
  </si>
  <si>
    <t xml:space="preserve">Bagaimana A dibanding B dan C pada kriteria yang sama?</t>
  </si>
  <si>
    <t xml:space="preserve">Produk ini sukses tahun lalu</t>
  </si>
  <si>
    <t xml:space="preserve">Recency / status quo</t>
  </si>
  <si>
    <t xml:space="preserve">Asumsi apa yang membuatnya sukses, masih berlaku?</t>
  </si>
  <si>
    <t xml:space="preserve">Semua kompetitor menggunakan sistem ini</t>
  </si>
  <si>
    <t xml:space="preserve">Bandwagon / groupthink</t>
  </si>
  <si>
    <t xml:space="preserve">Masalah apa yang mau diselesaikan sistem ini?</t>
  </si>
  <si>
    <t xml:space="preserve">Kita sudah keluar Rp 2 M, lanjutkan saja</t>
  </si>
  <si>
    <t xml:space="preserve">Jika mulai dari nol hari ini, apakah kita akan memilih ini?</t>
  </si>
  <si>
    <t xml:space="preserve">Pengajuan limit Rp 10 M, kita tawar jadi 8 M</t>
  </si>
  <si>
    <t xml:space="preserve">Berapa limit yang didukung arus kas, terlepas dari angka awal?</t>
  </si>
  <si>
    <t xml:space="preserve">Game 11 · 60-Second Boardroom — kartu kasus</t>
  </si>
  <si>
    <t xml:space="preserve">Kasus</t>
  </si>
  <si>
    <t xml:space="preserve">Brief</t>
  </si>
  <si>
    <t xml:space="preserve">Kasus A</t>
  </si>
  <si>
    <t xml:space="preserve">Komplain layanan naik 40% di 3 cabang; rekomendasikan langkah 30 hari.</t>
  </si>
  <si>
    <t xml:space="preserve">Kasus B</t>
  </si>
  <si>
    <t xml:space="preserve">Pipeline kredit UMKM turun 25%; pilih antara promosi atau perbaikan proses.</t>
  </si>
  <si>
    <t xml:space="preserve">Kasus C</t>
  </si>
  <si>
    <t xml:space="preserve">Audit finding overdue 4 bulan; minta tambahan sumber daya ke Direksi.</t>
  </si>
  <si>
    <t xml:space="preserve">War Room — kartu kondisi awal</t>
  </si>
  <si>
    <t xml:space="preserve">Kondisi</t>
  </si>
  <si>
    <t xml:space="preserve">Business target hanya 82%</t>
  </si>
  <si>
    <t xml:space="preserve">NPL meningkat</t>
  </si>
  <si>
    <t xml:space="preserve">Customer complaint naik</t>
  </si>
  <si>
    <t xml:space="preserve">Audit finding overdue</t>
  </si>
  <si>
    <t xml:space="preserve">Regulatory deadline mendekat</t>
  </si>
  <si>
    <t xml:space="preserve">System instability</t>
  </si>
  <si>
    <t xml:space="preserve">Two employees resign</t>
  </si>
  <si>
    <t xml:space="preserve">Project digitalisasi terlambat</t>
  </si>
  <si>
    <t xml:space="preserve">Fraud alert muncul</t>
  </si>
  <si>
    <t xml:space="preserve">Top customer mengancam pindah</t>
  </si>
  <si>
    <t xml:space="preserve">War Room — event card (± setiap 7–10 menit)</t>
  </si>
  <si>
    <t xml:space="preserve">Event</t>
  </si>
  <si>
    <t xml:space="preserve">Perilaku yang diamati observer</t>
  </si>
  <si>
    <t xml:space="preserve">Media sosial mulai membahas complaint</t>
  </si>
  <si>
    <t xml:space="preserve">Communication + escalation ke corporate communication</t>
  </si>
  <si>
    <t xml:space="preserve">System down</t>
  </si>
  <si>
    <t xml:space="preserve">Business continuity, komunikasi nasabah</t>
  </si>
  <si>
    <t xml:space="preserve">Direksi minta report 1 jam lagi</t>
  </si>
  <si>
    <t xml:space="preserve">Delegasi penyusunan, fokus pesan SFAIRA</t>
  </si>
  <si>
    <t xml:space="preserve">Staf menemukan error laporan</t>
  </si>
  <si>
    <t xml:space="preserve">Ownership, koreksi sebelum kirim</t>
  </si>
  <si>
    <t xml:space="preserve">Key employee sakit</t>
  </si>
  <si>
    <t xml:space="preserve">Re-delegasi, buffer</t>
  </si>
  <si>
    <t xml:space="preserve">Customer VIP datang</t>
  </si>
  <si>
    <t xml:space="preserve">Delegasi ke RM, jangan tinggalkan krisis</t>
  </si>
  <si>
    <t xml:space="preserve">Potential fraud makin serius</t>
  </si>
  <si>
    <t xml:space="preserve">Wajib eskalasi anti-fraud &amp; kepatuhan sekarang</t>
  </si>
  <si>
    <t xml:space="preserve">Yang diukur</t>
  </si>
  <si>
    <t xml:space="preserve">Instrumen</t>
  </si>
  <si>
    <t xml:space="preserve">Sumber data</t>
  </si>
  <si>
    <t xml:space="preserve">Hasil</t>
  </si>
  <si>
    <t xml:space="preserve">L1 Reaction</t>
  </si>
  <si>
    <t xml:space="preserve">Relevansi, keterlibatan, kegunaan</t>
  </si>
  <si>
    <t xml:space="preserve">Kuesioner 1–5 (di bawah)</t>
  </si>
  <si>
    <t xml:space="preserve">Akhir Day 2</t>
  </si>
  <si>
    <t xml:space="preserve">L2 Learning</t>
  </si>
  <si>
    <t xml:space="preserve">Pemahaman framework</t>
  </si>
  <si>
    <t xml:space="preserve">Pre/Post Test</t>
  </si>
  <si>
    <t xml:space="preserve">Sheet 19b</t>
  </si>
  <si>
    <t xml:space="preserve">L3 Behavior</t>
  </si>
  <si>
    <t xml:space="preserve">Perubahan perilaku kerja</t>
  </si>
  <si>
    <t xml:space="preserve">30-Day Plan + Manager Follow-up</t>
  </si>
  <si>
    <t xml:space="preserve">Sheet 20, 21</t>
  </si>
  <si>
    <t xml:space="preserve">L4 Results</t>
  </si>
  <si>
    <t xml:space="preserve">Dampak ke metrik kerja</t>
  </si>
  <si>
    <t xml:space="preserve">Before vs After</t>
  </si>
  <si>
    <t xml:space="preserve">Sheet 22</t>
  </si>
  <si>
    <t xml:space="preserve">Catatan: L2 menampilkan gain rata-rata (Post − Pre). L3 diisi % peserta dengan status 'On track' pada D30.</t>
  </si>
  <si>
    <t xml:space="preserve">Kuesioner L1 (rata-rata kelas, skala 1–5)</t>
  </si>
  <si>
    <t xml:space="preserve">Materi relevan dengan pekerjaan saya</t>
  </si>
  <si>
    <t xml:space="preserve">Game dan simulasi membantu saya memahami konsep</t>
  </si>
  <si>
    <t xml:space="preserve">Saya tahu apa yang akan saya lakukan berbeda besok</t>
  </si>
  <si>
    <t xml:space="preserve">Framework mudah diterapkan di unit saya</t>
  </si>
  <si>
    <t xml:space="preserve">Fasilitator mendorong saya berpikir, bukan sekadar mendengar</t>
  </si>
  <si>
    <t xml:space="preserve">Porsi teori vs praktik seimbang</t>
  </si>
  <si>
    <t xml:space="preserve">Toolkit siap dipakai</t>
  </si>
  <si>
    <t xml:space="preserve">Saya akan merekomendasikan training ini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</si>
</sst>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"/>
    <numFmt numFmtId="167" formatCode="0%"/>
    <numFmt numFmtId="168" formatCode="0.00"/>
    <numFmt numFmtId="169" formatCode="dd\-mmm\-yy"/>
    <numFmt numFmtId="170" formatCode="0"/>
    <numFmt numFmtId="171" formatCode="\+0.0;\-0.0"/>
    <numFmt numFmtId="172" formatCode="dd\-mmm\-yyyy"/>
    <numFmt numFmtId="173" formatCode="\+0%;\-0%;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i val="true"/>
      <sz val="11"/>
      <color rgb="FFE39B2D"/>
      <name val="Arial"/>
      <family val="0"/>
      <charset val="1"/>
    </font>
    <font>
      <sz val="9"/>
      <color rgb="FF5662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1E7F86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0"/>
      <color rgb="FF1B243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56627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0243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0243E"/>
      <name val="Arial"/>
      <family val="0"/>
      <charset val="1"/>
    </font>
    <font>
      <b val="true"/>
      <sz val="10"/>
      <color rgb="FF1E7F8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0243E"/>
        <bgColor rgb="FF1B2430"/>
      </patternFill>
    </fill>
    <fill>
      <patternFill patternType="solid">
        <fgColor rgb="FF1E7F86"/>
        <bgColor rgb="FF008080"/>
      </patternFill>
    </fill>
    <fill>
      <patternFill patternType="solid">
        <fgColor rgb="FFE39B2D"/>
        <bgColor rgb="FFFF8080"/>
      </patternFill>
    </fill>
    <fill>
      <patternFill patternType="solid">
        <fgColor rgb="FFFFF4C2"/>
        <bgColor rgb="FFFBEFD9"/>
      </patternFill>
    </fill>
    <fill>
      <patternFill patternType="solid">
        <fgColor rgb="FFEEF2F6"/>
        <bgColor rgb="FFEEEEEE"/>
      </patternFill>
    </fill>
    <fill>
      <patternFill patternType="solid">
        <fgColor rgb="FF4F7BA8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E4DF"/>
        </patternFill>
      </fill>
    </dxf>
    <dxf>
      <fill>
        <patternFill>
          <bgColor rgb="FFFBEFD9"/>
        </patternFill>
      </fill>
    </dxf>
    <dxf>
      <fill>
        <patternFill>
          <bgColor rgb="FFE2F0F1"/>
        </patternFill>
      </fill>
    </dxf>
    <dxf>
      <fill>
        <patternFill>
          <bgColor rgb="FFEEF2F6"/>
        </patternFill>
      </fill>
    </dxf>
    <dxf>
      <fill>
        <patternFill>
          <bgColor rgb="FFC9D6E3"/>
        </patternFill>
      </fill>
    </dxf>
    <dxf>
      <fill>
        <patternFill>
          <bgColor rgb="FFD5ECD9"/>
        </patternFill>
      </fill>
    </dxf>
    <dxf>
      <fill>
        <patternFill>
          <bgColor rgb="FFF3E3C3"/>
        </patternFill>
      </fill>
    </dxf>
    <dxf>
      <fill>
        <patternFill>
          <bgColor rgb="FFEEEEEE"/>
        </patternFill>
      </fill>
    </dxf>
    <dxf>
      <fill>
        <patternFill>
          <bgColor rgb="FFFFFFFF"/>
        </patternFill>
      </fill>
    </dxf>
    <dxf>
      <fill>
        <patternFill>
          <bgColor rgb="FFD5F0E3"/>
        </patternFill>
      </fill>
    </dxf>
    <dxf>
      <fill>
        <patternFill>
          <bgColor rgb="FFFB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00FFFF"/>
      <rgbColor rgb="FF800000"/>
      <rgbColor rgb="FF008000"/>
      <rgbColor rgb="FF000080"/>
      <rgbColor rgb="FF808000"/>
      <rgbColor rgb="FF800080"/>
      <rgbColor rgb="FF1E7F86"/>
      <rgbColor rgb="FFC9D2DC"/>
      <rgbColor rgb="FF878787"/>
      <rgbColor rgb="FF9999FF"/>
      <rgbColor rgb="FFBE4B48"/>
      <rgbColor rgb="FFFFF4C2"/>
      <rgbColor rgb="FFE2F0F1"/>
      <rgbColor rgb="FF660066"/>
      <rgbColor rgb="FFFF8080"/>
      <rgbColor rgb="FF0066CC"/>
      <rgbColor rgb="FFC9D6E3"/>
      <rgbColor rgb="FF000080"/>
      <rgbColor rgb="FFFF00FF"/>
      <rgbColor rgb="FFEEF2F6"/>
      <rgbColor rgb="FF00FFFF"/>
      <rgbColor rgb="FF800080"/>
      <rgbColor rgb="FF800000"/>
      <rgbColor rgb="FF008080"/>
      <rgbColor rgb="FF0000FF"/>
      <rgbColor rgb="FF00CCFF"/>
      <rgbColor rgb="FFD5ECD9"/>
      <rgbColor rgb="FFD5F0E3"/>
      <rgbColor rgb="FFFBEFD9"/>
      <rgbColor rgb="FFD9D9D9"/>
      <rgbColor rgb="FFFBE3E3"/>
      <rgbColor rgb="FFF8E4DF"/>
      <rgbColor rgb="FFF3E3C3"/>
      <rgbColor rgb="FF4A7EBB"/>
      <rgbColor rgb="FF33CCCC"/>
      <rgbColor rgb="FF9BBB59"/>
      <rgbColor rgb="FFFFCC00"/>
      <rgbColor rgb="FFE39B2D"/>
      <rgbColor rgb="FFFF6600"/>
      <rgbColor rgb="FF8064A2"/>
      <rgbColor rgb="FF4F81BD"/>
      <rgbColor rgb="FF10243E"/>
      <rgbColor rgb="FF4F7BA8"/>
      <rgbColor rgb="FF003300"/>
      <rgbColor rgb="FF333300"/>
      <rgbColor rgb="FF993300"/>
      <rgbColor rgb="FFC0504D"/>
      <rgbColor rgb="FF566273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 vs Post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'1 Self-Diagnostic'!B5</c:f>
              <c:strCache>
                <c:ptCount val="1"/>
                <c:pt idx="0">
                  <c:v>Pre (1–5)</c:v>
                </c:pt>
              </c:strCache>
            </c:strRef>
          </c:tx>
          <c:spPr>
            <a:solidFill>
              <a:srgbClr val="4a7ebb"/>
            </a:solidFill>
            <a:ln w="66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Self-Diagnostic'!$A$6:$A$15</c:f>
              <c:strCache>
                <c:ptCount val="10"/>
                <c:pt idx="0">
                  <c:v>Priority Management</c:v>
                </c:pt>
                <c:pt idx="1">
                  <c:v>Time Management</c:v>
                </c:pt>
                <c:pt idx="2">
                  <c:v>Focus</c:v>
                </c:pt>
                <c:pt idx="3">
                  <c:v>Delegation</c:v>
                </c:pt>
                <c:pt idx="4">
                  <c:v>Critical Thinking</c:v>
                </c:pt>
                <c:pt idx="5">
                  <c:v>Decision Making</c:v>
                </c:pt>
                <c:pt idx="6">
                  <c:v>Communication</c:v>
                </c:pt>
                <c:pt idx="7">
                  <c:v>Accountability</c:v>
                </c:pt>
                <c:pt idx="8">
                  <c:v>Coaching</c:v>
                </c:pt>
                <c:pt idx="9">
                  <c:v>Execution</c:v>
                </c:pt>
              </c:strCache>
            </c:strRef>
          </c:cat>
          <c:val>
            <c:numRef>
              <c:f>'1 Self-Diagnostic'!$B$6:$B$15</c:f>
              <c:numCache>
                <c:formatCode>General</c:formatCode>
                <c:ptCount val="10"/>
                <c:pt idx="0">
                  <c:v>3</c:v>
                </c:pt>
              </c:numCache>
            </c:numRef>
          </c:val>
        </c:ser>
        <c:ser>
          <c:idx val="1"/>
          <c:order val="1"/>
          <c:tx>
            <c:strRef>
              <c:f>'1 Self-Diagnostic'!C5</c:f>
              <c:strCache>
                <c:ptCount val="1"/>
                <c:pt idx="0">
                  <c:v>Post (1–5)</c:v>
                </c:pt>
              </c:strCache>
            </c:strRef>
          </c:tx>
          <c:spPr>
            <a:solidFill>
              <a:srgbClr val="be4b48"/>
            </a:solidFill>
            <a:ln w="66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Self-Diagnostic'!$A$6:$A$15</c:f>
              <c:strCache>
                <c:ptCount val="10"/>
                <c:pt idx="0">
                  <c:v>Priority Management</c:v>
                </c:pt>
                <c:pt idx="1">
                  <c:v>Time Management</c:v>
                </c:pt>
                <c:pt idx="2">
                  <c:v>Focus</c:v>
                </c:pt>
                <c:pt idx="3">
                  <c:v>Delegation</c:v>
                </c:pt>
                <c:pt idx="4">
                  <c:v>Critical Thinking</c:v>
                </c:pt>
                <c:pt idx="5">
                  <c:v>Decision Making</c:v>
                </c:pt>
                <c:pt idx="6">
                  <c:v>Communication</c:v>
                </c:pt>
                <c:pt idx="7">
                  <c:v>Accountability</c:v>
                </c:pt>
                <c:pt idx="8">
                  <c:v>Coaching</c:v>
                </c:pt>
                <c:pt idx="9">
                  <c:v>Execution</c:v>
                </c:pt>
              </c:strCache>
            </c:strRef>
          </c:cat>
          <c:val>
            <c:numRef>
              <c:f>'1 Self-Diagnostic'!$C$6:$C$15</c:f>
              <c:numCache>
                <c:formatCode>General</c:formatCode>
                <c:ptCount val="10"/>
                <c:pt idx="0">
                  <c:v>4</c:v>
                </c:pt>
              </c:numCache>
            </c:numRef>
          </c:val>
        </c:ser>
        <c:axId val="17068052"/>
        <c:axId val="37405979"/>
      </c:radarChart>
      <c:catAx>
        <c:axId val="170680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05979"/>
        <c:crosses val="autoZero"/>
        <c:auto val="1"/>
        <c:lblAlgn val="ctr"/>
        <c:lblOffset val="100"/>
        <c:noMultiLvlLbl val="0"/>
      </c:catAx>
      <c:valAx>
        <c:axId val="37405979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680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Skor 5 dimensi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'2 480-Minute'!B36</c:f>
              <c:strCache>
                <c:ptCount val="1"/>
                <c:pt idx="0">
                  <c:v>Skor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'2 480-Minute'!$A$37:$A$41</c:f>
              <c:strCache>
                <c:ptCount val="5"/>
                <c:pt idx="0">
                  <c:v>Business</c:v>
                </c:pt>
                <c:pt idx="1">
                  <c:v>Customer</c:v>
                </c:pt>
                <c:pt idx="2">
                  <c:v>Risk</c:v>
                </c:pt>
                <c:pt idx="3">
                  <c:v>People</c:v>
                </c:pt>
                <c:pt idx="4">
                  <c:v>Execution</c:v>
                </c:pt>
              </c:strCache>
            </c:strRef>
          </c:cat>
          <c:val>
            <c:numRef>
              <c:f>'2 480-Minute'!$B$37:$B$41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6012562"/>
        <c:axId val="15376998"/>
      </c:barChart>
      <c:catAx>
        <c:axId val="46012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76998"/>
        <c:crosses val="autoZero"/>
        <c:auto val="1"/>
        <c:lblAlgn val="ctr"/>
        <c:lblOffset val="100"/>
        <c:noMultiLvlLbl val="0"/>
      </c:catAx>
      <c:valAx>
        <c:axId val="15376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12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Skor dimensi per tim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'15 Arena Scoring'!F28</c:f>
              <c:strCache>
                <c:ptCount val="1"/>
                <c:pt idx="0">
                  <c:v>Tim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 Arena Scoring'!$A$29:$A$33</c:f>
              <c:strCache>
                <c:ptCount val="5"/>
                <c:pt idx="0">
                  <c:v>Business</c:v>
                </c:pt>
                <c:pt idx="1">
                  <c:v>Customer</c:v>
                </c:pt>
                <c:pt idx="2">
                  <c:v>Risk</c:v>
                </c:pt>
                <c:pt idx="3">
                  <c:v>People</c:v>
                </c:pt>
                <c:pt idx="4">
                  <c:v>Execution</c:v>
                </c:pt>
              </c:strCache>
            </c:strRef>
          </c:cat>
          <c:val>
            <c:numRef>
              <c:f>'15 Arena Scoring'!$F$29:$F$33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'15 Arena Scoring'!J28</c:f>
              <c:strCache>
                <c:ptCount val="1"/>
                <c:pt idx="0">
                  <c:v>Tim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 Arena Scoring'!$A$29:$A$33</c:f>
              <c:strCache>
                <c:ptCount val="5"/>
                <c:pt idx="0">
                  <c:v>Business</c:v>
                </c:pt>
                <c:pt idx="1">
                  <c:v>Customer</c:v>
                </c:pt>
                <c:pt idx="2">
                  <c:v>Risk</c:v>
                </c:pt>
                <c:pt idx="3">
                  <c:v>People</c:v>
                </c:pt>
                <c:pt idx="4">
                  <c:v>Execution</c:v>
                </c:pt>
              </c:strCache>
            </c:strRef>
          </c:cat>
          <c:val>
            <c:numRef>
              <c:f>'15 Arena Scoring'!$J$29:$J$33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'15 Arena Scoring'!N28</c:f>
              <c:strCache>
                <c:ptCount val="1"/>
                <c:pt idx="0">
                  <c:v>Tim 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 Arena Scoring'!$A$29:$A$33</c:f>
              <c:strCache>
                <c:ptCount val="5"/>
                <c:pt idx="0">
                  <c:v>Business</c:v>
                </c:pt>
                <c:pt idx="1">
                  <c:v>Customer</c:v>
                </c:pt>
                <c:pt idx="2">
                  <c:v>Risk</c:v>
                </c:pt>
                <c:pt idx="3">
                  <c:v>People</c:v>
                </c:pt>
                <c:pt idx="4">
                  <c:v>Execution</c:v>
                </c:pt>
              </c:strCache>
            </c:strRef>
          </c:cat>
          <c:val>
            <c:numRef>
              <c:f>'15 Arena Scoring'!$N$29:$N$33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'15 Arena Scoring'!R28</c:f>
              <c:strCache>
                <c:ptCount val="1"/>
                <c:pt idx="0">
                  <c:v>Tim 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 Arena Scoring'!$A$29:$A$33</c:f>
              <c:strCache>
                <c:ptCount val="5"/>
                <c:pt idx="0">
                  <c:v>Business</c:v>
                </c:pt>
                <c:pt idx="1">
                  <c:v>Customer</c:v>
                </c:pt>
                <c:pt idx="2">
                  <c:v>Risk</c:v>
                </c:pt>
                <c:pt idx="3">
                  <c:v>People</c:v>
                </c:pt>
                <c:pt idx="4">
                  <c:v>Execution</c:v>
                </c:pt>
              </c:strCache>
            </c:strRef>
          </c:cat>
          <c:val>
            <c:numRef>
              <c:f>'15 Arena Scoring'!$R$29:$R$33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5387164"/>
        <c:axId val="44874549"/>
      </c:barChart>
      <c:catAx>
        <c:axId val="55387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74549"/>
        <c:crosses val="autoZero"/>
        <c:auto val="1"/>
        <c:lblAlgn val="ctr"/>
        <c:lblOffset val="100"/>
        <c:noMultiLvlLbl val="0"/>
      </c:catAx>
      <c:valAx>
        <c:axId val="44874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71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14</xdr:col>
      <xdr:colOff>398880</xdr:colOff>
      <xdr:row>18</xdr:row>
      <xdr:rowOff>269640</xdr:rowOff>
    </xdr:to>
    <xdr:graphicFrame>
      <xdr:nvGraphicFramePr>
        <xdr:cNvPr id="0" name="Chart 1"/>
        <xdr:cNvGraphicFramePr/>
      </xdr:nvGraphicFramePr>
      <xdr:xfrm>
        <a:off x="10479240" y="92376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32</xdr:row>
      <xdr:rowOff>156240</xdr:rowOff>
    </xdr:from>
    <xdr:to>
      <xdr:col>9</xdr:col>
      <xdr:colOff>302040</xdr:colOff>
      <xdr:row>45</xdr:row>
      <xdr:rowOff>9000</xdr:rowOff>
    </xdr:to>
    <xdr:graphicFrame>
      <xdr:nvGraphicFramePr>
        <xdr:cNvPr id="1" name="Chart 1"/>
        <xdr:cNvGraphicFramePr/>
      </xdr:nvGraphicFramePr>
      <xdr:xfrm>
        <a:off x="3876840" y="6829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78120</xdr:rowOff>
    </xdr:from>
    <xdr:to>
      <xdr:col>5</xdr:col>
      <xdr:colOff>402840</xdr:colOff>
      <xdr:row>55</xdr:row>
      <xdr:rowOff>100080</xdr:rowOff>
    </xdr:to>
    <xdr:graphicFrame>
      <xdr:nvGraphicFramePr>
        <xdr:cNvPr id="2" name="Chart 1"/>
        <xdr:cNvGraphicFramePr/>
      </xdr:nvGraphicFramePr>
      <xdr:xfrm>
        <a:off x="0" y="8353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Leadership_That_Works_Toolkit.xlsx" TargetMode="External"/><Relationship Id="rId2" Type="http://schemas.openxmlformats.org/officeDocument/2006/relationships/hyperlink" Target="Leadership_That_Works_Toolkit.xlsx" TargetMode="External"/><Relationship Id="rId3" Type="http://schemas.openxmlformats.org/officeDocument/2006/relationships/hyperlink" Target="Leadership_That_Works_Toolkit.xlsx" TargetMode="External"/><Relationship Id="rId4" Type="http://schemas.openxmlformats.org/officeDocument/2006/relationships/hyperlink" Target="Leadership_That_Works_Toolkit.xlsx" TargetMode="External"/><Relationship Id="rId5" Type="http://schemas.openxmlformats.org/officeDocument/2006/relationships/hyperlink" Target="Leadership_That_Works_Toolkit.xlsx" TargetMode="External"/><Relationship Id="rId6" Type="http://schemas.openxmlformats.org/officeDocument/2006/relationships/hyperlink" Target="Leadership_That_Works_Toolkit.xlsx" TargetMode="External"/><Relationship Id="rId7" Type="http://schemas.openxmlformats.org/officeDocument/2006/relationships/hyperlink" Target="Leadership_That_Works_Toolkit.xlsx" TargetMode="External"/><Relationship Id="rId8" Type="http://schemas.openxmlformats.org/officeDocument/2006/relationships/hyperlink" Target="Leadership_That_Works_Toolkit.xlsx" TargetMode="External"/><Relationship Id="rId9" Type="http://schemas.openxmlformats.org/officeDocument/2006/relationships/hyperlink" Target="Leadership_That_Works_Toolkit.xlsx" TargetMode="External"/><Relationship Id="rId10" Type="http://schemas.openxmlformats.org/officeDocument/2006/relationships/hyperlink" Target="Leadership_That_Works_Toolkit.xlsx" TargetMode="External"/><Relationship Id="rId11" Type="http://schemas.openxmlformats.org/officeDocument/2006/relationships/hyperlink" Target="Leadership_That_Works_Toolkit.xlsx" TargetMode="External"/><Relationship Id="rId12" Type="http://schemas.openxmlformats.org/officeDocument/2006/relationships/hyperlink" Target="Leadership_That_Works_Toolkit.xlsx" TargetMode="External"/><Relationship Id="rId13" Type="http://schemas.openxmlformats.org/officeDocument/2006/relationships/hyperlink" Target="Leadership_That_Works_Toolkit.xlsx" TargetMode="External"/><Relationship Id="rId14" Type="http://schemas.openxmlformats.org/officeDocument/2006/relationships/hyperlink" Target="Leadership_That_Works_Toolkit.xlsx" TargetMode="External"/><Relationship Id="rId15" Type="http://schemas.openxmlformats.org/officeDocument/2006/relationships/hyperlink" Target="Leadership_That_Works_Toolkit.xlsx" TargetMode="External"/><Relationship Id="rId16" Type="http://schemas.openxmlformats.org/officeDocument/2006/relationships/hyperlink" Target="Leadership_That_Works_Toolkit.xlsx" TargetMode="External"/><Relationship Id="rId17" Type="http://schemas.openxmlformats.org/officeDocument/2006/relationships/hyperlink" Target="Leadership_That_Works_Toolkit.xlsx" TargetMode="External"/><Relationship Id="rId18" Type="http://schemas.openxmlformats.org/officeDocument/2006/relationships/hyperlink" Target="Leadership_That_Works_Toolkit.xlsx" TargetMode="External"/><Relationship Id="rId19" Type="http://schemas.openxmlformats.org/officeDocument/2006/relationships/hyperlink" Target="Leadership_That_Works_Toolkit.xlsx" TargetMode="External"/><Relationship Id="rId20" Type="http://schemas.openxmlformats.org/officeDocument/2006/relationships/hyperlink" Target="Leadership_That_Works_Toolkit.xlsx" TargetMode="External"/><Relationship Id="rId21" Type="http://schemas.openxmlformats.org/officeDocument/2006/relationships/hyperlink" Target="Leadership_That_Works_Toolkit.xlsx" TargetMode="External"/><Relationship Id="rId22" Type="http://schemas.openxmlformats.org/officeDocument/2006/relationships/hyperlink" Target="Leadership_That_Works_Toolkit.xlsx" TargetMode="External"/><Relationship Id="rId23" Type="http://schemas.openxmlformats.org/officeDocument/2006/relationships/hyperlink" Target="Leadership_That_Works_Toolkit.xlsx" TargetMode="External"/><Relationship Id="rId24" Type="http://schemas.openxmlformats.org/officeDocument/2006/relationships/hyperlink" Target="Leadership_That_Works_Toolkit.xlsx" TargetMode="External"/><Relationship Id="rId25" Type="http://schemas.openxmlformats.org/officeDocument/2006/relationships/hyperlink" Target="Leadership_That_Works_Toolkit.xlsx" TargetMode="External"/><Relationship Id="rId26" Type="http://schemas.openxmlformats.org/officeDocument/2006/relationships/hyperlink" Target="Leadership_That_Works_Toolki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80"/>
  </cols>
  <sheetData>
    <row r="1" customFormat="false" ht="31.5" hidden="false" customHeight="tru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false" outlineLevel="0" collapsed="false">
      <c r="A6" s="6" t="s">
        <v>6</v>
      </c>
      <c r="B6" s="7" t="s">
        <v>7</v>
      </c>
      <c r="C6" s="7" t="s">
        <v>8</v>
      </c>
    </row>
    <row r="7" customFormat="false" ht="23.85" hidden="false" customHeight="false" outlineLevel="0" collapsed="false">
      <c r="A7" s="6" t="s">
        <v>9</v>
      </c>
      <c r="B7" s="7" t="s">
        <v>10</v>
      </c>
      <c r="C7" s="7" t="s">
        <v>11</v>
      </c>
    </row>
    <row r="8" customFormat="false" ht="23.85" hidden="false" customHeight="false" outlineLevel="0" collapsed="false">
      <c r="A8" s="6" t="s">
        <v>12</v>
      </c>
      <c r="B8" s="7" t="s">
        <v>13</v>
      </c>
      <c r="C8" s="7" t="s">
        <v>14</v>
      </c>
    </row>
    <row r="9" customFormat="false" ht="15" hidden="false" customHeight="false" outlineLevel="0" collapsed="false">
      <c r="A9" s="6" t="s">
        <v>15</v>
      </c>
      <c r="B9" s="7" t="s">
        <v>16</v>
      </c>
      <c r="C9" s="7" t="s">
        <v>17</v>
      </c>
    </row>
    <row r="10" customFormat="false" ht="15" hidden="false" customHeight="false" outlineLevel="0" collapsed="false">
      <c r="A10" s="6" t="s">
        <v>18</v>
      </c>
      <c r="B10" s="7" t="s">
        <v>19</v>
      </c>
      <c r="C10" s="7" t="s">
        <v>20</v>
      </c>
    </row>
    <row r="11" customFormat="false" ht="15" hidden="false" customHeight="false" outlineLevel="0" collapsed="false">
      <c r="A11" s="6" t="s">
        <v>21</v>
      </c>
      <c r="B11" s="7" t="s">
        <v>22</v>
      </c>
      <c r="C11" s="7" t="s">
        <v>23</v>
      </c>
    </row>
    <row r="12" customFormat="false" ht="15" hidden="false" customHeight="false" outlineLevel="0" collapsed="false">
      <c r="A12" s="6" t="s">
        <v>24</v>
      </c>
      <c r="B12" s="7" t="s">
        <v>25</v>
      </c>
      <c r="C12" s="7" t="s">
        <v>26</v>
      </c>
    </row>
    <row r="13" customFormat="false" ht="23.85" hidden="false" customHeight="false" outlineLevel="0" collapsed="false">
      <c r="A13" s="6" t="s">
        <v>27</v>
      </c>
      <c r="B13" s="7" t="s">
        <v>28</v>
      </c>
      <c r="C13" s="7" t="s">
        <v>29</v>
      </c>
    </row>
    <row r="14" customFormat="false" ht="23.85" hidden="false" customHeight="false" outlineLevel="0" collapsed="false">
      <c r="A14" s="6" t="s">
        <v>30</v>
      </c>
      <c r="B14" s="7" t="s">
        <v>31</v>
      </c>
      <c r="C14" s="7" t="s">
        <v>32</v>
      </c>
    </row>
    <row r="15" customFormat="false" ht="15" hidden="false" customHeight="false" outlineLevel="0" collapsed="false">
      <c r="A15" s="6" t="s">
        <v>33</v>
      </c>
      <c r="B15" s="7" t="s">
        <v>34</v>
      </c>
      <c r="C15" s="7" t="s">
        <v>35</v>
      </c>
    </row>
    <row r="16" customFormat="false" ht="23.85" hidden="false" customHeight="false" outlineLevel="0" collapsed="false">
      <c r="A16" s="6" t="s">
        <v>36</v>
      </c>
      <c r="B16" s="7" t="s">
        <v>37</v>
      </c>
      <c r="C16" s="7" t="s">
        <v>38</v>
      </c>
    </row>
    <row r="17" customFormat="false" ht="23.85" hidden="false" customHeight="false" outlineLevel="0" collapsed="false">
      <c r="A17" s="6" t="s">
        <v>39</v>
      </c>
      <c r="B17" s="7" t="s">
        <v>40</v>
      </c>
      <c r="C17" s="7" t="s">
        <v>41</v>
      </c>
    </row>
    <row r="18" customFormat="false" ht="15" hidden="false" customHeight="false" outlineLevel="0" collapsed="false">
      <c r="A18" s="6" t="s">
        <v>42</v>
      </c>
      <c r="B18" s="7" t="s">
        <v>43</v>
      </c>
      <c r="C18" s="7" t="s">
        <v>44</v>
      </c>
    </row>
    <row r="19" customFormat="false" ht="15" hidden="false" customHeight="false" outlineLevel="0" collapsed="false">
      <c r="A19" s="6" t="s">
        <v>45</v>
      </c>
      <c r="B19" s="7" t="s">
        <v>46</v>
      </c>
      <c r="C19" s="7" t="s">
        <v>47</v>
      </c>
    </row>
    <row r="20" customFormat="false" ht="23.85" hidden="false" customHeight="false" outlineLevel="0" collapsed="false">
      <c r="A20" s="6" t="s">
        <v>48</v>
      </c>
      <c r="B20" s="7" t="s">
        <v>49</v>
      </c>
      <c r="C20" s="7" t="s">
        <v>50</v>
      </c>
    </row>
    <row r="21" customFormat="false" ht="23.85" hidden="false" customHeight="false" outlineLevel="0" collapsed="false">
      <c r="A21" s="6" t="s">
        <v>51</v>
      </c>
      <c r="B21" s="7" t="s">
        <v>52</v>
      </c>
      <c r="C21" s="7" t="s">
        <v>53</v>
      </c>
    </row>
    <row r="22" customFormat="false" ht="23.85" hidden="false" customHeight="false" outlineLevel="0" collapsed="false">
      <c r="A22" s="6" t="s">
        <v>54</v>
      </c>
      <c r="B22" s="7" t="s">
        <v>55</v>
      </c>
      <c r="C22" s="7" t="s">
        <v>56</v>
      </c>
    </row>
    <row r="23" customFormat="false" ht="15" hidden="false" customHeight="false" outlineLevel="0" collapsed="false">
      <c r="A23" s="6" t="s">
        <v>57</v>
      </c>
      <c r="B23" s="7" t="s">
        <v>58</v>
      </c>
      <c r="C23" s="7" t="s">
        <v>59</v>
      </c>
    </row>
    <row r="24" customFormat="false" ht="23.85" hidden="false" customHeight="false" outlineLevel="0" collapsed="false">
      <c r="A24" s="6" t="s">
        <v>60</v>
      </c>
      <c r="B24" s="7" t="s">
        <v>61</v>
      </c>
      <c r="C24" s="7" t="s">
        <v>62</v>
      </c>
    </row>
    <row r="25" customFormat="false" ht="15" hidden="false" customHeight="false" outlineLevel="0" collapsed="false">
      <c r="A25" s="6" t="s">
        <v>63</v>
      </c>
      <c r="B25" s="7" t="s">
        <v>64</v>
      </c>
      <c r="C25" s="7" t="s">
        <v>65</v>
      </c>
    </row>
    <row r="26" customFormat="false" ht="15" hidden="false" customHeight="false" outlineLevel="0" collapsed="false">
      <c r="A26" s="6" t="s">
        <v>66</v>
      </c>
      <c r="B26" s="7" t="s">
        <v>67</v>
      </c>
      <c r="C26" s="7" t="s">
        <v>68</v>
      </c>
    </row>
    <row r="27" customFormat="false" ht="15" hidden="false" customHeight="false" outlineLevel="0" collapsed="false">
      <c r="A27" s="6" t="s">
        <v>69</v>
      </c>
      <c r="B27" s="7" t="s">
        <v>70</v>
      </c>
      <c r="C27" s="7" t="s">
        <v>71</v>
      </c>
    </row>
    <row r="28" customFormat="false" ht="15" hidden="false" customHeight="false" outlineLevel="0" collapsed="false">
      <c r="A28" s="6" t="s">
        <v>72</v>
      </c>
      <c r="B28" s="7" t="s">
        <v>73</v>
      </c>
      <c r="C28" s="7" t="s">
        <v>74</v>
      </c>
    </row>
    <row r="29" customFormat="false" ht="15" hidden="false" customHeight="false" outlineLevel="0" collapsed="false">
      <c r="A29" s="6" t="s">
        <v>75</v>
      </c>
      <c r="B29" s="7" t="s">
        <v>76</v>
      </c>
      <c r="C29" s="7" t="s">
        <v>77</v>
      </c>
    </row>
    <row r="30" customFormat="false" ht="23.85" hidden="false" customHeight="false" outlineLevel="0" collapsed="false">
      <c r="A30" s="6" t="s">
        <v>78</v>
      </c>
      <c r="B30" s="7" t="s">
        <v>79</v>
      </c>
      <c r="C30" s="7" t="s">
        <v>80</v>
      </c>
    </row>
    <row r="31" customFormat="false" ht="23.85" hidden="false" customHeight="false" outlineLevel="0" collapsed="false">
      <c r="A31" s="6" t="s">
        <v>81</v>
      </c>
      <c r="B31" s="7" t="s">
        <v>82</v>
      </c>
      <c r="C31" s="7" t="s">
        <v>83</v>
      </c>
    </row>
    <row r="33" customFormat="false" ht="60" hidden="false" customHeight="true" outlineLevel="0" collapsed="false">
      <c r="A33" s="8" t="s">
        <v>84</v>
      </c>
      <c r="C33" s="7" t="s">
        <v>85</v>
      </c>
    </row>
  </sheetData>
  <hyperlinks>
    <hyperlink ref="A6" r:id="rId1" location="'1%20Self-Diagnostic'!A1" display="1 Self-Diagnostic"/>
    <hyperlink ref="A7" r:id="rId2" location="'2%20480-Minute'!A1" display="2 480-Minute"/>
    <hyperlink ref="A8" r:id="rId3" location="'3%20Priority%20Scorecard'!A1" display="3 Priority Scorecard"/>
    <hyperlink ref="A9" r:id="rId4" location="'4%20Weekly%20Planner'!A1" display="4 Weekly Planner"/>
    <hyperlink ref="A10" r:id="rId5" location="'5%20Big3%20&amp;%20Meeting'!A1" display="5 Big3 &amp; Meeting"/>
    <hyperlink ref="A11" r:id="rId6" location="'6%20Delegation'!A1" display="6 Delegation"/>
    <hyperlink ref="A12" r:id="rId7" location="'7%20GROW%20&amp;%20SBI'!A1" display="7 GROW &amp; SBI"/>
    <hyperlink ref="A13" r:id="rId8" location="'8%20Fact-Assumption'!A1" display="8 Fact-Assumption"/>
    <hyperlink ref="A14" r:id="rId9" location="'9%20Root%20Cause'!A1" display="9 Root Cause"/>
    <hyperlink ref="A15" r:id="rId10" location="'10%20Bias%20Checklist'!A1" display="10 Bias Checklist"/>
    <hyperlink ref="A16" r:id="rId11" location="'11%20Decision%20Matrix'!A1" display="11 Decision Matrix"/>
    <hyperlink ref="A17" r:id="rId12" location="'12%20Pre-Mortem'!A1" display="12 Pre-Mortem"/>
    <hyperlink ref="A18" r:id="rId13" location="'13%20Decision%20Log'!A1" display="13 Decision Log"/>
    <hyperlink ref="A19" r:id="rId14" location="'14%20Action%20Tracker'!A1" display="14 Action Tracker"/>
    <hyperlink ref="A20" r:id="rId15" location="'15%20Arena%20Scoring'!A1" display="15 Arena Scoring"/>
    <hyperlink ref="A21" r:id="rId16" location="'16%20Decision%20Auction'!A1" display="16 Decision Auction"/>
    <hyperlink ref="A22" r:id="rId17" location="'17%20War%20Room%20Score'!A1" display="17 War Room Score"/>
    <hyperlink ref="A23" r:id="rId18" location="'18%20Boardroom%20Rubric'!A1" display="18 Boardroom Rubric"/>
    <hyperlink ref="A24" r:id="rId19" location="'19%20Pre-Post%20Test'!A1" display="19 Pre-Post Test"/>
    <hyperlink ref="A25" r:id="rId20" location="'19b%20Test%20Scoring'!A1" display="19b Test Scoring"/>
    <hyperlink ref="A26" r:id="rId21" location="'20%2030-Day%20Plan'!A1" display="20 30-Day Plan"/>
    <hyperlink ref="A27" r:id="rId22" location="'21%20Manager%20Follow-up'!A1" display="21 Manager Follow-up"/>
    <hyperlink ref="A28" r:id="rId23" location="'22%20Impact%20Metrics'!A1" display="22 Impact Metrics"/>
    <hyperlink ref="A29" r:id="rId24" location="'23%20AAR%20&amp;%20SSC'!A1" display="23 AAR &amp; SSC"/>
    <hyperlink ref="A30" r:id="rId25" location="'24%20Kartu%20Game'!A1" display="24 Kartu Game"/>
    <hyperlink ref="A31" r:id="rId26" location="'25%20Evaluasi%20Training'!A1" display="25 Evaluasi Train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9" t="s">
        <v>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0" t="s">
        <v>8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87</v>
      </c>
      <c r="B5" s="5" t="s">
        <v>88</v>
      </c>
      <c r="C5" s="5" t="s">
        <v>89</v>
      </c>
      <c r="D5" s="5" t="s">
        <v>90</v>
      </c>
      <c r="E5" s="5" t="s">
        <v>91</v>
      </c>
      <c r="F5" s="5" t="s">
        <v>92</v>
      </c>
    </row>
    <row r="6" customFormat="false" ht="23.85" hidden="false" customHeight="false" outlineLevel="0" collapsed="false">
      <c r="A6" s="11" t="s">
        <v>93</v>
      </c>
      <c r="B6" s="12" t="n">
        <v>3</v>
      </c>
      <c r="C6" s="12" t="n">
        <v>4</v>
      </c>
      <c r="D6" s="13" t="n">
        <f aca="false">IF(OR(B6="",C6=""),"",C6-B6)</f>
        <v>1</v>
      </c>
      <c r="E6" s="7" t="str">
        <f aca="false">IF(B6="","",IF(B6&lt;=2,"Prioritas pengembangan",IF(B6=3,"Cukup, perlu konsistensi","Kekuatan")))</f>
        <v>Cukup, perlu konsistensi</v>
      </c>
      <c r="F6" s="14" t="s">
        <v>94</v>
      </c>
    </row>
    <row r="7" customFormat="false" ht="15" hidden="false" customHeight="false" outlineLevel="0" collapsed="false">
      <c r="A7" s="11" t="s">
        <v>95</v>
      </c>
      <c r="B7" s="12"/>
      <c r="C7" s="12"/>
      <c r="D7" s="13" t="str">
        <f aca="false">IF(OR(B7="",C7=""),"",C7-B7)</f>
        <v/>
      </c>
      <c r="E7" s="7" t="str">
        <f aca="false">IF(B7="","",IF(B7&lt;=2,"Prioritas pengembangan",IF(B7=3,"Cukup, perlu konsistensi","Kekuatan")))</f>
        <v/>
      </c>
      <c r="F7" s="14"/>
    </row>
    <row r="8" customFormat="false" ht="15" hidden="false" customHeight="false" outlineLevel="0" collapsed="false">
      <c r="A8" s="11" t="s">
        <v>96</v>
      </c>
      <c r="B8" s="12"/>
      <c r="C8" s="12"/>
      <c r="D8" s="13" t="str">
        <f aca="false">IF(OR(B8="",C8=""),"",C8-B8)</f>
        <v/>
      </c>
      <c r="E8" s="7" t="str">
        <f aca="false">IF(B8="","",IF(B8&lt;=2,"Prioritas pengembangan",IF(B8=3,"Cukup, perlu konsistensi","Kekuatan")))</f>
        <v/>
      </c>
      <c r="F8" s="14"/>
    </row>
    <row r="9" customFormat="false" ht="15" hidden="false" customHeight="false" outlineLevel="0" collapsed="false">
      <c r="A9" s="11" t="s">
        <v>97</v>
      </c>
      <c r="B9" s="12"/>
      <c r="C9" s="12"/>
      <c r="D9" s="13" t="str">
        <f aca="false">IF(OR(B9="",C9=""),"",C9-B9)</f>
        <v/>
      </c>
      <c r="E9" s="7" t="str">
        <f aca="false">IF(B9="","",IF(B9&lt;=2,"Prioritas pengembangan",IF(B9=3,"Cukup, perlu konsistensi","Kekuatan")))</f>
        <v/>
      </c>
      <c r="F9" s="14"/>
    </row>
    <row r="10" customFormat="false" ht="15" hidden="false" customHeight="false" outlineLevel="0" collapsed="false">
      <c r="A10" s="11" t="s">
        <v>98</v>
      </c>
      <c r="B10" s="12"/>
      <c r="C10" s="12"/>
      <c r="D10" s="13" t="str">
        <f aca="false">IF(OR(B10="",C10=""),"",C10-B10)</f>
        <v/>
      </c>
      <c r="E10" s="7" t="str">
        <f aca="false">IF(B10="","",IF(B10&lt;=2,"Prioritas pengembangan",IF(B10=3,"Cukup, perlu konsistensi","Kekuatan")))</f>
        <v/>
      </c>
      <c r="F10" s="14"/>
    </row>
    <row r="11" customFormat="false" ht="15" hidden="false" customHeight="false" outlineLevel="0" collapsed="false">
      <c r="A11" s="11" t="s">
        <v>99</v>
      </c>
      <c r="B11" s="12"/>
      <c r="C11" s="12"/>
      <c r="D11" s="13" t="str">
        <f aca="false">IF(OR(B11="",C11=""),"",C11-B11)</f>
        <v/>
      </c>
      <c r="E11" s="7" t="str">
        <f aca="false">IF(B11="","",IF(B11&lt;=2,"Prioritas pengembangan",IF(B11=3,"Cukup, perlu konsistensi","Kekuatan")))</f>
        <v/>
      </c>
      <c r="F11" s="14"/>
    </row>
    <row r="12" customFormat="false" ht="15" hidden="false" customHeight="false" outlineLevel="0" collapsed="false">
      <c r="A12" s="11" t="s">
        <v>100</v>
      </c>
      <c r="B12" s="12"/>
      <c r="C12" s="12"/>
      <c r="D12" s="13" t="str">
        <f aca="false">IF(OR(B12="",C12=""),"",C12-B12)</f>
        <v/>
      </c>
      <c r="E12" s="7" t="str">
        <f aca="false">IF(B12="","",IF(B12&lt;=2,"Prioritas pengembangan",IF(B12=3,"Cukup, perlu konsistensi","Kekuatan")))</f>
        <v/>
      </c>
      <c r="F12" s="14"/>
    </row>
    <row r="13" customFormat="false" ht="15" hidden="false" customHeight="false" outlineLevel="0" collapsed="false">
      <c r="A13" s="11" t="s">
        <v>101</v>
      </c>
      <c r="B13" s="12"/>
      <c r="C13" s="12"/>
      <c r="D13" s="13" t="str">
        <f aca="false">IF(OR(B13="",C13=""),"",C13-B13)</f>
        <v/>
      </c>
      <c r="E13" s="7" t="str">
        <f aca="false">IF(B13="","",IF(B13&lt;=2,"Prioritas pengembangan",IF(B13=3,"Cukup, perlu konsistensi","Kekuatan")))</f>
        <v/>
      </c>
      <c r="F13" s="14"/>
    </row>
    <row r="14" customFormat="false" ht="15" hidden="false" customHeight="false" outlineLevel="0" collapsed="false">
      <c r="A14" s="11" t="s">
        <v>102</v>
      </c>
      <c r="B14" s="12"/>
      <c r="C14" s="12"/>
      <c r="D14" s="13" t="str">
        <f aca="false">IF(OR(B14="",C14=""),"",C14-B14)</f>
        <v/>
      </c>
      <c r="E14" s="7" t="str">
        <f aca="false">IF(B14="","",IF(B14&lt;=2,"Prioritas pengembangan",IF(B14=3,"Cukup, perlu konsistensi","Kekuatan")))</f>
        <v/>
      </c>
      <c r="F14" s="14"/>
    </row>
    <row r="15" customFormat="false" ht="15" hidden="false" customHeight="false" outlineLevel="0" collapsed="false">
      <c r="A15" s="11" t="s">
        <v>103</v>
      </c>
      <c r="B15" s="12"/>
      <c r="C15" s="12"/>
      <c r="D15" s="13" t="str">
        <f aca="false">IF(OR(B15="",C15=""),"",C15-B15)</f>
        <v/>
      </c>
      <c r="E15" s="7" t="str">
        <f aca="false">IF(B15="","",IF(B15&lt;=2,"Prioritas pengembangan",IF(B15=3,"Cukup, perlu konsistensi","Kekuatan")))</f>
        <v/>
      </c>
      <c r="F15" s="14"/>
    </row>
    <row r="16" customFormat="false" ht="15" hidden="false" customHeight="false" outlineLevel="0" collapsed="false">
      <c r="A16" s="15" t="s">
        <v>104</v>
      </c>
      <c r="B16" s="16" t="n">
        <f aca="false">IFERROR(AVERAGE(B6:B15),"")</f>
        <v>3</v>
      </c>
      <c r="C16" s="16" t="n">
        <f aca="false">IFERROR(AVERAGE(C6:C15),"")</f>
        <v>4</v>
      </c>
      <c r="D16" s="16" t="n">
        <f aca="false">IFERROR(C16-B16,"")</f>
        <v>1</v>
      </c>
    </row>
    <row r="18" customFormat="false" ht="15" hidden="false" customHeight="true" outlineLevel="0" collapsed="false">
      <c r="A18" s="11" t="s">
        <v>105</v>
      </c>
      <c r="B18" s="11"/>
      <c r="C18" s="11"/>
      <c r="D18" s="11"/>
      <c r="E18" s="11"/>
      <c r="F18" s="11"/>
    </row>
    <row r="19" customFormat="false" ht="45" hidden="false" customHeight="true" outlineLevel="0" collapsed="false">
      <c r="A19" s="14"/>
      <c r="B19" s="14"/>
      <c r="C19" s="14"/>
      <c r="D19" s="14"/>
      <c r="E19" s="14"/>
      <c r="F19" s="14"/>
    </row>
    <row r="21" customFormat="false" ht="15" hidden="false" customHeight="false" outlineLevel="0" collapsed="false">
      <c r="A21" s="17" t="s">
        <v>106</v>
      </c>
    </row>
    <row r="22" customFormat="false" ht="15" hidden="false" customHeight="false" outlineLevel="0" collapsed="false">
      <c r="A22" s="11" t="s">
        <v>107</v>
      </c>
      <c r="B22" s="14"/>
      <c r="C22" s="14"/>
      <c r="D22" s="14"/>
      <c r="E22" s="14"/>
      <c r="F22" s="14"/>
    </row>
    <row r="23" customFormat="false" ht="23.85" hidden="false" customHeight="false" outlineLevel="0" collapsed="false">
      <c r="A23" s="11" t="s">
        <v>108</v>
      </c>
      <c r="B23" s="14"/>
      <c r="C23" s="14"/>
      <c r="D23" s="14"/>
      <c r="E23" s="14"/>
      <c r="F23" s="14"/>
    </row>
    <row r="24" customFormat="false" ht="23.85" hidden="false" customHeight="false" outlineLevel="0" collapsed="false">
      <c r="A24" s="11" t="s">
        <v>109</v>
      </c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1" t="s">
        <v>110</v>
      </c>
      <c r="B25" s="14"/>
      <c r="C25" s="14"/>
      <c r="D25" s="14"/>
      <c r="E25" s="14"/>
      <c r="F25" s="14"/>
    </row>
  </sheetData>
  <mergeCells count="6">
    <mergeCell ref="A18:F18"/>
    <mergeCell ref="A19:F19"/>
    <mergeCell ref="B22:F22"/>
    <mergeCell ref="B23:F23"/>
    <mergeCell ref="B24:F24"/>
    <mergeCell ref="B25:F25"/>
  </mergeCells>
  <dataValidations count="1">
    <dataValidation allowBlank="true" error="Isi angka 1–5" errorStyle="stop" operator="between" showDropDown="false" showErrorMessage="true" showInputMessage="false" sqref="B6:C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11" min="7" style="0" width="9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9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10" t="s">
        <v>11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111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  <c r="I5" s="5" t="s">
        <v>119</v>
      </c>
      <c r="J5" s="5" t="s">
        <v>120</v>
      </c>
      <c r="K5" s="5" t="s">
        <v>103</v>
      </c>
      <c r="L5" s="5" t="s">
        <v>121</v>
      </c>
      <c r="M5" s="5" t="s">
        <v>122</v>
      </c>
    </row>
    <row r="6" customFormat="false" ht="15" hidden="false" customHeight="false" outlineLevel="0" collapsed="false">
      <c r="A6" s="11" t="s">
        <v>123</v>
      </c>
      <c r="B6" s="12" t="n">
        <v>45</v>
      </c>
      <c r="C6" s="7" t="s">
        <v>124</v>
      </c>
      <c r="D6" s="12"/>
      <c r="E6" s="13" t="n">
        <f aca="false">B6*N(D6)</f>
        <v>0</v>
      </c>
      <c r="F6" s="12" t="s">
        <v>125</v>
      </c>
      <c r="G6" s="12" t="n">
        <v>1</v>
      </c>
      <c r="H6" s="12" t="n">
        <v>5</v>
      </c>
      <c r="I6" s="12" t="n">
        <v>2</v>
      </c>
      <c r="J6" s="12" t="n">
        <v>0</v>
      </c>
      <c r="K6" s="12" t="n">
        <v>1</v>
      </c>
      <c r="L6" s="13" t="n">
        <f aca="false">IF(AND(F6="Y",N(D6)=0),-10,0)</f>
        <v>0</v>
      </c>
      <c r="M6" s="14"/>
    </row>
    <row r="7" customFormat="false" ht="15" hidden="false" customHeight="false" outlineLevel="0" collapsed="false">
      <c r="A7" s="11" t="s">
        <v>126</v>
      </c>
      <c r="B7" s="12" t="n">
        <v>60</v>
      </c>
      <c r="C7" s="7" t="s">
        <v>127</v>
      </c>
      <c r="D7" s="12"/>
      <c r="E7" s="13" t="n">
        <f aca="false">B7*N(D7)</f>
        <v>0</v>
      </c>
      <c r="F7" s="12" t="s">
        <v>125</v>
      </c>
      <c r="G7" s="12" t="n">
        <v>5</v>
      </c>
      <c r="H7" s="12" t="n">
        <v>1</v>
      </c>
      <c r="I7" s="12" t="n">
        <v>0</v>
      </c>
      <c r="J7" s="12" t="n">
        <v>1</v>
      </c>
      <c r="K7" s="12" t="n">
        <v>2</v>
      </c>
      <c r="L7" s="13" t="n">
        <f aca="false">IF(AND(F7="Y",N(D7)=0),-10,0)</f>
        <v>0</v>
      </c>
      <c r="M7" s="14"/>
    </row>
    <row r="8" customFormat="false" ht="15" hidden="false" customHeight="false" outlineLevel="0" collapsed="false">
      <c r="A8" s="11" t="s">
        <v>128</v>
      </c>
      <c r="B8" s="12" t="n">
        <v>60</v>
      </c>
      <c r="C8" s="7" t="s">
        <v>129</v>
      </c>
      <c r="D8" s="12"/>
      <c r="E8" s="13" t="n">
        <f aca="false">B8*N(D8)</f>
        <v>0</v>
      </c>
      <c r="F8" s="12" t="s">
        <v>125</v>
      </c>
      <c r="G8" s="12" t="n">
        <v>1</v>
      </c>
      <c r="H8" s="12" t="n">
        <v>0</v>
      </c>
      <c r="I8" s="12" t="n">
        <v>0</v>
      </c>
      <c r="J8" s="12" t="n">
        <v>1</v>
      </c>
      <c r="K8" s="12" t="n">
        <v>1</v>
      </c>
      <c r="L8" s="13" t="n">
        <f aca="false">IF(AND(F8="Y",N(D8)=0),-10,0)</f>
        <v>0</v>
      </c>
      <c r="M8" s="14"/>
    </row>
    <row r="9" customFormat="false" ht="15" hidden="false" customHeight="false" outlineLevel="0" collapsed="false">
      <c r="A9" s="11" t="s">
        <v>130</v>
      </c>
      <c r="B9" s="12" t="n">
        <v>90</v>
      </c>
      <c r="C9" s="7" t="s">
        <v>124</v>
      </c>
      <c r="D9" s="12"/>
      <c r="E9" s="13" t="n">
        <f aca="false">B9*N(D9)</f>
        <v>0</v>
      </c>
      <c r="F9" s="12" t="s">
        <v>131</v>
      </c>
      <c r="G9" s="12" t="n">
        <v>1</v>
      </c>
      <c r="H9" s="12" t="n">
        <v>0</v>
      </c>
      <c r="I9" s="12" t="n">
        <v>5</v>
      </c>
      <c r="J9" s="12" t="n">
        <v>0</v>
      </c>
      <c r="K9" s="12" t="n">
        <v>2</v>
      </c>
      <c r="L9" s="13" t="n">
        <f aca="false">IF(AND(F9="Y",N(D9)=0),-10,0)</f>
        <v>-10</v>
      </c>
      <c r="M9" s="14"/>
    </row>
    <row r="10" customFormat="false" ht="15" hidden="false" customHeight="false" outlineLevel="0" collapsed="false">
      <c r="A10" s="11" t="s">
        <v>132</v>
      </c>
      <c r="B10" s="12" t="n">
        <v>45</v>
      </c>
      <c r="C10" s="7" t="s">
        <v>127</v>
      </c>
      <c r="D10" s="12"/>
      <c r="E10" s="13" t="n">
        <f aca="false">B10*N(D10)</f>
        <v>0</v>
      </c>
      <c r="F10" s="12" t="s">
        <v>125</v>
      </c>
      <c r="G10" s="12" t="n">
        <v>1</v>
      </c>
      <c r="H10" s="12" t="n">
        <v>1</v>
      </c>
      <c r="I10" s="12" t="n">
        <v>0</v>
      </c>
      <c r="J10" s="12" t="n">
        <v>5</v>
      </c>
      <c r="K10" s="12" t="n">
        <v>1</v>
      </c>
      <c r="L10" s="13" t="n">
        <f aca="false">IF(AND(F10="Y",N(D10)=0),-10,0)</f>
        <v>0</v>
      </c>
      <c r="M10" s="14"/>
    </row>
    <row r="11" customFormat="false" ht="15" hidden="false" customHeight="false" outlineLevel="0" collapsed="false">
      <c r="A11" s="11" t="s">
        <v>133</v>
      </c>
      <c r="B11" s="12" t="n">
        <v>60</v>
      </c>
      <c r="C11" s="7" t="s">
        <v>124</v>
      </c>
      <c r="D11" s="12"/>
      <c r="E11" s="13" t="n">
        <f aca="false">B11*N(D11)</f>
        <v>0</v>
      </c>
      <c r="F11" s="12" t="s">
        <v>125</v>
      </c>
      <c r="G11" s="12" t="n">
        <v>4</v>
      </c>
      <c r="H11" s="12" t="n">
        <v>3</v>
      </c>
      <c r="I11" s="12" t="n">
        <v>2</v>
      </c>
      <c r="J11" s="12" t="n">
        <v>0</v>
      </c>
      <c r="K11" s="12" t="n">
        <v>2</v>
      </c>
      <c r="L11" s="13" t="n">
        <f aca="false">IF(AND(F11="Y",N(D11)=0),-10,0)</f>
        <v>0</v>
      </c>
      <c r="M11" s="14"/>
    </row>
    <row r="12" customFormat="false" ht="15" hidden="false" customHeight="false" outlineLevel="0" collapsed="false">
      <c r="A12" s="11" t="s">
        <v>134</v>
      </c>
      <c r="B12" s="12" t="n">
        <v>40</v>
      </c>
      <c r="C12" s="7" t="s">
        <v>135</v>
      </c>
      <c r="D12" s="12"/>
      <c r="E12" s="13" t="n">
        <f aca="false">B12*N(D12)</f>
        <v>0</v>
      </c>
      <c r="F12" s="12" t="s">
        <v>125</v>
      </c>
      <c r="G12" s="12" t="n">
        <v>0</v>
      </c>
      <c r="H12" s="12" t="n">
        <v>0</v>
      </c>
      <c r="I12" s="12" t="n">
        <v>0</v>
      </c>
      <c r="J12" s="12" t="n">
        <v>1</v>
      </c>
      <c r="K12" s="12" t="n">
        <v>0</v>
      </c>
      <c r="L12" s="13" t="n">
        <f aca="false">IF(AND(F12="Y",N(D12)=0),-10,0)</f>
        <v>0</v>
      </c>
      <c r="M12" s="14"/>
    </row>
    <row r="13" customFormat="false" ht="15" hidden="false" customHeight="false" outlineLevel="0" collapsed="false">
      <c r="A13" s="11" t="s">
        <v>136</v>
      </c>
      <c r="B13" s="12" t="n">
        <v>45</v>
      </c>
      <c r="C13" s="7" t="s">
        <v>124</v>
      </c>
      <c r="D13" s="12"/>
      <c r="E13" s="13" t="n">
        <f aca="false">B13*N(D13)</f>
        <v>0</v>
      </c>
      <c r="F13" s="12" t="s">
        <v>131</v>
      </c>
      <c r="G13" s="12" t="n">
        <v>0</v>
      </c>
      <c r="H13" s="12" t="n">
        <v>2</v>
      </c>
      <c r="I13" s="12" t="n">
        <v>5</v>
      </c>
      <c r="J13" s="12" t="n">
        <v>0</v>
      </c>
      <c r="K13" s="12" t="n">
        <v>1</v>
      </c>
      <c r="L13" s="13" t="n">
        <f aca="false">IF(AND(F13="Y",N(D13)=0),-10,0)</f>
        <v>-10</v>
      </c>
      <c r="M13" s="14"/>
    </row>
    <row r="14" customFormat="false" ht="15" hidden="false" customHeight="false" outlineLevel="0" collapsed="false">
      <c r="A14" s="11" t="s">
        <v>137</v>
      </c>
      <c r="B14" s="12" t="n">
        <v>60</v>
      </c>
      <c r="C14" s="7" t="s">
        <v>127</v>
      </c>
      <c r="D14" s="12"/>
      <c r="E14" s="13" t="n">
        <f aca="false">B14*N(D14)</f>
        <v>0</v>
      </c>
      <c r="F14" s="12" t="s">
        <v>131</v>
      </c>
      <c r="G14" s="12" t="n">
        <v>0</v>
      </c>
      <c r="H14" s="12" t="n">
        <v>0</v>
      </c>
      <c r="I14" s="12" t="n">
        <v>4</v>
      </c>
      <c r="J14" s="12" t="n">
        <v>0</v>
      </c>
      <c r="K14" s="12" t="n">
        <v>2</v>
      </c>
      <c r="L14" s="13" t="n">
        <f aca="false">IF(AND(F14="Y",N(D14)=0),-10,0)</f>
        <v>-10</v>
      </c>
      <c r="M14" s="14"/>
    </row>
    <row r="15" customFormat="false" ht="15" hidden="false" customHeight="false" outlineLevel="0" collapsed="false">
      <c r="A15" s="11" t="s">
        <v>138</v>
      </c>
      <c r="B15" s="12" t="n">
        <v>45</v>
      </c>
      <c r="C15" s="7" t="s">
        <v>129</v>
      </c>
      <c r="D15" s="12"/>
      <c r="E15" s="13" t="n">
        <f aca="false">B15*N(D15)</f>
        <v>0</v>
      </c>
      <c r="F15" s="12" t="s">
        <v>125</v>
      </c>
      <c r="G15" s="12" t="n">
        <v>1</v>
      </c>
      <c r="H15" s="12" t="n">
        <v>0</v>
      </c>
      <c r="I15" s="12" t="n">
        <v>1</v>
      </c>
      <c r="J15" s="12" t="n">
        <v>0</v>
      </c>
      <c r="K15" s="12" t="n">
        <v>2</v>
      </c>
      <c r="L15" s="13" t="n">
        <f aca="false">IF(AND(F15="Y",N(D15)=0),-10,0)</f>
        <v>0</v>
      </c>
      <c r="M15" s="14"/>
    </row>
    <row r="16" customFormat="false" ht="15" hidden="false" customHeight="false" outlineLevel="0" collapsed="false">
      <c r="A16" s="11" t="s">
        <v>139</v>
      </c>
      <c r="B16" s="12" t="n">
        <v>60</v>
      </c>
      <c r="C16" s="7" t="s">
        <v>127</v>
      </c>
      <c r="D16" s="12"/>
      <c r="E16" s="13" t="n">
        <f aca="false">B16*N(D16)</f>
        <v>0</v>
      </c>
      <c r="F16" s="12" t="s">
        <v>125</v>
      </c>
      <c r="G16" s="12" t="n">
        <v>0</v>
      </c>
      <c r="H16" s="12" t="n">
        <v>0</v>
      </c>
      <c r="I16" s="12" t="n">
        <v>0</v>
      </c>
      <c r="J16" s="12" t="n">
        <v>2</v>
      </c>
      <c r="K16" s="12" t="n">
        <v>2</v>
      </c>
      <c r="L16" s="13" t="n">
        <f aca="false">IF(AND(F16="Y",N(D16)=0),-10,0)</f>
        <v>0</v>
      </c>
      <c r="M16" s="14"/>
    </row>
    <row r="17" customFormat="false" ht="15" hidden="false" customHeight="false" outlineLevel="0" collapsed="false">
      <c r="A17" s="11" t="s">
        <v>140</v>
      </c>
      <c r="B17" s="12" t="n">
        <v>30</v>
      </c>
      <c r="C17" s="7" t="s">
        <v>127</v>
      </c>
      <c r="D17" s="12"/>
      <c r="E17" s="13" t="n">
        <f aca="false">B17*N(D17)</f>
        <v>0</v>
      </c>
      <c r="F17" s="12" t="s">
        <v>125</v>
      </c>
      <c r="G17" s="12" t="n">
        <v>2</v>
      </c>
      <c r="H17" s="12" t="n">
        <v>1</v>
      </c>
      <c r="I17" s="12" t="n">
        <v>1</v>
      </c>
      <c r="J17" s="12" t="n">
        <v>1</v>
      </c>
      <c r="K17" s="12" t="n">
        <v>4</v>
      </c>
      <c r="L17" s="13" t="n">
        <f aca="false">IF(AND(F17="Y",N(D17)=0),-10,0)</f>
        <v>0</v>
      </c>
      <c r="M17" s="14"/>
    </row>
    <row r="18" customFormat="false" ht="15" hidden="false" customHeight="false" outlineLevel="0" collapsed="false">
      <c r="A18" s="11" t="s">
        <v>141</v>
      </c>
      <c r="B18" s="12" t="n">
        <v>90</v>
      </c>
      <c r="C18" s="7" t="s">
        <v>127</v>
      </c>
      <c r="D18" s="12"/>
      <c r="E18" s="13" t="n">
        <f aca="false">B18*N(D18)</f>
        <v>0</v>
      </c>
      <c r="F18" s="12" t="s">
        <v>125</v>
      </c>
      <c r="G18" s="12" t="n">
        <v>3</v>
      </c>
      <c r="H18" s="12" t="n">
        <v>2</v>
      </c>
      <c r="I18" s="12" t="n">
        <v>1</v>
      </c>
      <c r="J18" s="12" t="n">
        <v>1</v>
      </c>
      <c r="K18" s="12" t="n">
        <v>3</v>
      </c>
      <c r="L18" s="13" t="n">
        <f aca="false">IF(AND(F18="Y",N(D18)=0),-10,0)</f>
        <v>0</v>
      </c>
      <c r="M18" s="14"/>
    </row>
    <row r="19" customFormat="false" ht="15" hidden="false" customHeight="false" outlineLevel="0" collapsed="false">
      <c r="A19" s="11" t="s">
        <v>142</v>
      </c>
      <c r="B19" s="12" t="n">
        <v>45</v>
      </c>
      <c r="C19" s="7" t="s">
        <v>129</v>
      </c>
      <c r="D19" s="12"/>
      <c r="E19" s="13" t="n">
        <f aca="false">B19*N(D19)</f>
        <v>0</v>
      </c>
      <c r="F19" s="12" t="s">
        <v>125</v>
      </c>
      <c r="G19" s="12" t="n">
        <v>1</v>
      </c>
      <c r="H19" s="12" t="n">
        <v>1</v>
      </c>
      <c r="I19" s="12" t="n">
        <v>0</v>
      </c>
      <c r="J19" s="12" t="n">
        <v>0</v>
      </c>
      <c r="K19" s="12" t="n">
        <v>1</v>
      </c>
      <c r="L19" s="13" t="n">
        <f aca="false">IF(AND(F19="Y",N(D19)=0),-10,0)</f>
        <v>0</v>
      </c>
      <c r="M19" s="14"/>
    </row>
    <row r="20" customFormat="false" ht="15" hidden="false" customHeight="false" outlineLevel="0" collapsed="false">
      <c r="A20" s="11" t="s">
        <v>143</v>
      </c>
      <c r="B20" s="12" t="n">
        <v>30</v>
      </c>
      <c r="C20" s="7" t="s">
        <v>127</v>
      </c>
      <c r="D20" s="12"/>
      <c r="E20" s="13" t="n">
        <f aca="false">B20*N(D20)</f>
        <v>0</v>
      </c>
      <c r="F20" s="12" t="s">
        <v>125</v>
      </c>
      <c r="G20" s="12" t="n">
        <v>1</v>
      </c>
      <c r="H20" s="12" t="n">
        <v>2</v>
      </c>
      <c r="I20" s="12" t="n">
        <v>1</v>
      </c>
      <c r="J20" s="12" t="n">
        <v>2</v>
      </c>
      <c r="K20" s="12" t="n">
        <v>1</v>
      </c>
      <c r="L20" s="13" t="n">
        <f aca="false">IF(AND(F20="Y",N(D20)=0),-10,0)</f>
        <v>0</v>
      </c>
      <c r="M20" s="14"/>
    </row>
    <row r="21" customFormat="false" ht="15" hidden="false" customHeight="false" outlineLevel="0" collapsed="false">
      <c r="A21" s="11" t="s">
        <v>144</v>
      </c>
      <c r="B21" s="12" t="n">
        <v>30</v>
      </c>
      <c r="C21" s="7" t="s">
        <v>135</v>
      </c>
      <c r="D21" s="12"/>
      <c r="E21" s="13" t="n">
        <f aca="false">B21*N(D21)</f>
        <v>0</v>
      </c>
      <c r="F21" s="12" t="s">
        <v>125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1</v>
      </c>
      <c r="L21" s="13" t="n">
        <f aca="false">IF(AND(F21="Y",N(D21)=0),-10,0)</f>
        <v>0</v>
      </c>
      <c r="M21" s="14"/>
    </row>
    <row r="22" customFormat="false" ht="15" hidden="false" customHeight="false" outlineLevel="0" collapsed="false">
      <c r="A22" s="11" t="s">
        <v>145</v>
      </c>
      <c r="B22" s="12" t="n">
        <v>20</v>
      </c>
      <c r="C22" s="7" t="s">
        <v>124</v>
      </c>
      <c r="D22" s="12"/>
      <c r="E22" s="13" t="n">
        <f aca="false">B22*N(D22)</f>
        <v>0</v>
      </c>
      <c r="F22" s="12" t="s">
        <v>125</v>
      </c>
      <c r="G22" s="12" t="n">
        <v>1</v>
      </c>
      <c r="H22" s="12" t="n">
        <v>1</v>
      </c>
      <c r="I22" s="12" t="n">
        <v>1</v>
      </c>
      <c r="J22" s="12" t="n">
        <v>2</v>
      </c>
      <c r="K22" s="12" t="n">
        <v>2</v>
      </c>
      <c r="L22" s="13" t="n">
        <f aca="false">IF(AND(F22="Y",N(D22)=0),-10,0)</f>
        <v>0</v>
      </c>
      <c r="M22" s="14"/>
    </row>
    <row r="23" customFormat="false" ht="15" hidden="false" customHeight="false" outlineLevel="0" collapsed="false">
      <c r="A23" s="11" t="s">
        <v>146</v>
      </c>
      <c r="B23" s="12" t="n">
        <v>45</v>
      </c>
      <c r="C23" s="7" t="s">
        <v>129</v>
      </c>
      <c r="D23" s="12"/>
      <c r="E23" s="13" t="n">
        <f aca="false">B23*N(D23)</f>
        <v>0</v>
      </c>
      <c r="F23" s="12" t="s">
        <v>125</v>
      </c>
      <c r="G23" s="12" t="n">
        <v>1</v>
      </c>
      <c r="H23" s="12" t="n">
        <v>0</v>
      </c>
      <c r="I23" s="12" t="n">
        <v>2</v>
      </c>
      <c r="J23" s="12" t="n">
        <v>0</v>
      </c>
      <c r="K23" s="12" t="n">
        <v>1</v>
      </c>
      <c r="L23" s="13" t="n">
        <f aca="false">IF(AND(F23="Y",N(D23)=0),-10,0)</f>
        <v>0</v>
      </c>
      <c r="M23" s="14"/>
    </row>
    <row r="24" customFormat="false" ht="15" hidden="false" customHeight="false" outlineLevel="0" collapsed="false">
      <c r="A24" s="11" t="s">
        <v>147</v>
      </c>
      <c r="B24" s="12" t="n">
        <v>90</v>
      </c>
      <c r="C24" s="7" t="s">
        <v>127</v>
      </c>
      <c r="D24" s="12"/>
      <c r="E24" s="13" t="n">
        <f aca="false">B24*N(D24)</f>
        <v>0</v>
      </c>
      <c r="F24" s="12" t="s">
        <v>125</v>
      </c>
      <c r="G24" s="12" t="n">
        <v>4</v>
      </c>
      <c r="H24" s="12" t="n">
        <v>4</v>
      </c>
      <c r="I24" s="12" t="n">
        <v>0</v>
      </c>
      <c r="J24" s="12" t="n">
        <v>0</v>
      </c>
      <c r="K24" s="12" t="n">
        <v>1</v>
      </c>
      <c r="L24" s="13" t="n">
        <f aca="false">IF(AND(F24="Y",N(D24)=0),-10,0)</f>
        <v>0</v>
      </c>
      <c r="M24" s="14"/>
    </row>
    <row r="25" customFormat="false" ht="15" hidden="false" customHeight="false" outlineLevel="0" collapsed="false">
      <c r="A25" s="11" t="s">
        <v>148</v>
      </c>
      <c r="B25" s="12" t="n">
        <v>30</v>
      </c>
      <c r="C25" s="7" t="s">
        <v>127</v>
      </c>
      <c r="D25" s="12"/>
      <c r="E25" s="13" t="n">
        <f aca="false">B25*N(D25)</f>
        <v>0</v>
      </c>
      <c r="F25" s="12" t="s">
        <v>125</v>
      </c>
      <c r="G25" s="12" t="n">
        <v>1</v>
      </c>
      <c r="H25" s="12" t="n">
        <v>0</v>
      </c>
      <c r="I25" s="12" t="n">
        <v>0</v>
      </c>
      <c r="J25" s="12" t="n">
        <v>2</v>
      </c>
      <c r="K25" s="12" t="n">
        <v>1</v>
      </c>
      <c r="L25" s="13" t="n">
        <f aca="false">IF(AND(F25="Y",N(D25)=0),-10,0)</f>
        <v>0</v>
      </c>
      <c r="M25" s="14"/>
    </row>
    <row r="27" customFormat="false" ht="15" hidden="false" customHeight="false" outlineLevel="0" collapsed="false">
      <c r="A27" s="15" t="s">
        <v>149</v>
      </c>
      <c r="B27" s="18" t="n">
        <f aca="false">SUM(E6:E25)</f>
        <v>0</v>
      </c>
    </row>
    <row r="28" customFormat="false" ht="15" hidden="false" customHeight="false" outlineLevel="0" collapsed="false">
      <c r="A28" s="15" t="s">
        <v>150</v>
      </c>
      <c r="B28" s="18" t="n">
        <f aca="false">480-B27</f>
        <v>480</v>
      </c>
    </row>
    <row r="29" customFormat="false" ht="15" hidden="false" customHeight="false" outlineLevel="0" collapsed="false">
      <c r="A29" s="15" t="s">
        <v>91</v>
      </c>
      <c r="B29" s="19" t="str">
        <f aca="false">IF(B27&gt;480,"MELEBIHI 480 MENIT — kurangi aktivitas","OK")</f>
        <v>OK</v>
      </c>
      <c r="C29" s="19"/>
      <c r="D29" s="19"/>
      <c r="E29" s="19"/>
    </row>
    <row r="30" customFormat="false" ht="15" hidden="false" customHeight="false" outlineLevel="0" collapsed="false">
      <c r="A30" s="15" t="s">
        <v>151</v>
      </c>
      <c r="B30" s="20" t="n">
        <f aca="false">IFERROR(SUMIFS(E6:E25,C6:C25,"Urgent+Important")/B27,0)</f>
        <v>0</v>
      </c>
    </row>
    <row r="31" customFormat="false" ht="23.85" hidden="false" customHeight="false" outlineLevel="0" collapsed="false">
      <c r="A31" s="15" t="s">
        <v>152</v>
      </c>
      <c r="B31" s="20" t="n">
        <f aca="false">IFERROR(SUMIFS(E6:E25,C6:C25,"Important")/B27,0)</f>
        <v>0</v>
      </c>
    </row>
    <row r="32" customFormat="false" ht="23.85" hidden="false" customHeight="false" outlineLevel="0" collapsed="false">
      <c r="A32" s="15" t="s">
        <v>153</v>
      </c>
      <c r="B32" s="20" t="n">
        <f aca="false">IFERROR(SUMIFS(E6:E25,C6:C25,"Urgent")/B27,0)</f>
        <v>0</v>
      </c>
    </row>
    <row r="33" customFormat="false" ht="15" hidden="false" customHeight="false" outlineLevel="0" collapsed="false">
      <c r="A33" s="15" t="s">
        <v>154</v>
      </c>
      <c r="B33" s="20" t="n">
        <f aca="false">IFERROR(SUMIFS(E6:E25,C6:C25,"Neither")/B27,0)</f>
        <v>0</v>
      </c>
    </row>
    <row r="35" customFormat="false" ht="15" hidden="false" customHeight="false" outlineLevel="0" collapsed="false">
      <c r="A35" s="17" t="s">
        <v>155</v>
      </c>
    </row>
    <row r="36" customFormat="false" ht="30" hidden="false" customHeight="true" outlineLevel="0" collapsed="false">
      <c r="A36" s="5" t="s">
        <v>87</v>
      </c>
      <c r="B36" s="5" t="s">
        <v>156</v>
      </c>
    </row>
    <row r="37" customFormat="false" ht="15" hidden="false" customHeight="false" outlineLevel="0" collapsed="false">
      <c r="A37" s="11" t="s">
        <v>117</v>
      </c>
      <c r="B37" s="13" t="n">
        <f aca="false">SUMPRODUCT(G6:G25,--(D6:D25=1))</f>
        <v>0</v>
      </c>
    </row>
    <row r="38" customFormat="false" ht="15" hidden="false" customHeight="false" outlineLevel="0" collapsed="false">
      <c r="A38" s="11" t="s">
        <v>118</v>
      </c>
      <c r="B38" s="13" t="n">
        <f aca="false">SUMPRODUCT(H6:H25,--(D6:D25=1))</f>
        <v>0</v>
      </c>
    </row>
    <row r="39" customFormat="false" ht="15" hidden="false" customHeight="false" outlineLevel="0" collapsed="false">
      <c r="A39" s="11" t="s">
        <v>119</v>
      </c>
      <c r="B39" s="13" t="n">
        <f aca="false">SUMPRODUCT(I6:I25,--(D6:D25=1))</f>
        <v>0</v>
      </c>
    </row>
    <row r="40" customFormat="false" ht="15" hidden="false" customHeight="false" outlineLevel="0" collapsed="false">
      <c r="A40" s="11" t="s">
        <v>120</v>
      </c>
      <c r="B40" s="13" t="n">
        <f aca="false">SUMPRODUCT(J6:J25,--(D6:D25=1))</f>
        <v>0</v>
      </c>
    </row>
    <row r="41" customFormat="false" ht="15" hidden="false" customHeight="false" outlineLevel="0" collapsed="false">
      <c r="A41" s="11" t="s">
        <v>103</v>
      </c>
      <c r="B41" s="13" t="n">
        <f aca="false">SUMPRODUCT(K6:K25,--(D6:D25=1))</f>
        <v>0</v>
      </c>
    </row>
    <row r="42" customFormat="false" ht="15" hidden="false" customHeight="false" outlineLevel="0" collapsed="false">
      <c r="A42" s="11" t="s">
        <v>157</v>
      </c>
      <c r="B42" s="13" t="n">
        <f aca="false">SUM(L6:L25)</f>
        <v>-30</v>
      </c>
    </row>
    <row r="43" customFormat="false" ht="15" hidden="false" customHeight="false" outlineLevel="0" collapsed="false">
      <c r="A43" s="11" t="s">
        <v>158</v>
      </c>
      <c r="B43" s="13" t="n">
        <f aca="false">IF(B27&gt;480,-15,0)</f>
        <v>0</v>
      </c>
    </row>
    <row r="44" customFormat="false" ht="15" hidden="false" customHeight="false" outlineLevel="0" collapsed="false">
      <c r="A44" s="8" t="s">
        <v>159</v>
      </c>
      <c r="B44" s="21" t="n">
        <f aca="false">SUM(B37:B43)</f>
        <v>-30</v>
      </c>
    </row>
    <row r="45" customFormat="false" ht="15" hidden="false" customHeight="false" outlineLevel="0" collapsed="false">
      <c r="A45" s="22" t="s">
        <v>160</v>
      </c>
    </row>
  </sheetData>
  <mergeCells count="1">
    <mergeCell ref="B29:E29"/>
  </mergeCells>
  <conditionalFormatting sqref="B29">
    <cfRule type="expression" priority="2" aboveAverage="0" equalAverage="0" bottom="0" percent="0" rank="0" text="" dxfId="0">
      <formula>$B$27&gt;480</formula>
    </cfRule>
  </conditionalFormatting>
  <dataValidations count="2">
    <dataValidation allowBlank="true" errorStyle="stop" operator="between" showDropDown="false" showErrorMessage="false" showInputMessage="false" sqref="D6:D25" type="list">
      <formula1>"1,0"</formula1>
      <formula2>0</formula2>
    </dataValidation>
    <dataValidation allowBlank="true" errorStyle="stop" operator="between" showDropDown="false" showErrorMessage="false" showInputMessage="false" sqref="F6:F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8" min="3" style="0" width="9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9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0" t="s">
        <v>14</v>
      </c>
    </row>
    <row r="3" customFormat="false" ht="15" hidden="false" customHeight="false" outlineLevel="0" collapsed="false">
      <c r="A3" s="4" t="s">
        <v>86</v>
      </c>
    </row>
    <row r="5" customFormat="false" ht="15" hidden="false" customHeight="false" outlineLevel="0" collapsed="false">
      <c r="A5" s="15" t="s">
        <v>161</v>
      </c>
      <c r="B5" s="23" t="s">
        <v>162</v>
      </c>
      <c r="C5" s="24" t="n">
        <v>0.2</v>
      </c>
      <c r="D5" s="24" t="n">
        <v>0.15</v>
      </c>
      <c r="E5" s="24" t="n">
        <v>0.2</v>
      </c>
      <c r="F5" s="24" t="n">
        <v>0.2</v>
      </c>
      <c r="G5" s="24" t="n">
        <v>0.15</v>
      </c>
      <c r="H5" s="24" t="n">
        <v>0.1</v>
      </c>
      <c r="I5" s="25" t="n">
        <f aca="false">SUM(C5:H5)</f>
        <v>1</v>
      </c>
    </row>
    <row r="6" customFormat="false" ht="30" hidden="false" customHeight="true" outlineLevel="0" collapsed="false">
      <c r="A6" s="5" t="s">
        <v>163</v>
      </c>
      <c r="B6" s="5" t="s">
        <v>164</v>
      </c>
      <c r="C6" s="5" t="s">
        <v>165</v>
      </c>
      <c r="D6" s="5" t="s">
        <v>117</v>
      </c>
      <c r="E6" s="5" t="s">
        <v>118</v>
      </c>
      <c r="F6" s="5" t="s">
        <v>119</v>
      </c>
      <c r="G6" s="5" t="s">
        <v>166</v>
      </c>
      <c r="H6" s="5" t="s">
        <v>167</v>
      </c>
      <c r="I6" s="5" t="s">
        <v>168</v>
      </c>
      <c r="J6" s="5" t="s">
        <v>169</v>
      </c>
      <c r="K6" s="5" t="s">
        <v>170</v>
      </c>
    </row>
    <row r="7" customFormat="false" ht="23.85" hidden="false" customHeight="false" outlineLevel="0" collapsed="false">
      <c r="A7" s="14" t="s">
        <v>171</v>
      </c>
      <c r="B7" s="14" t="s">
        <v>172</v>
      </c>
      <c r="C7" s="12" t="n">
        <v>5</v>
      </c>
      <c r="D7" s="12" t="n">
        <v>2</v>
      </c>
      <c r="E7" s="12" t="n">
        <v>1</v>
      </c>
      <c r="F7" s="12" t="n">
        <v>4</v>
      </c>
      <c r="G7" s="12" t="n">
        <v>5</v>
      </c>
      <c r="H7" s="12" t="n">
        <v>2</v>
      </c>
      <c r="I7" s="26" t="n">
        <f aca="false">IF(COUNT(C7:H7)&lt;6,"",SUMPRODUCT(C7:H7,$C$5:$H$5)/$I$5)</f>
        <v>3.25</v>
      </c>
      <c r="J7" s="27" t="str">
        <f aca="false">IF(I7="","",IF(OR(F7=5,G7=5,I7&gt;=4),"P1",IF(I7&gt;=3,"P2",IF(I7&gt;=2,"P3","P4"))))</f>
        <v>P1</v>
      </c>
      <c r="K7" s="7" t="str">
        <f aca="false">IF(J7="","",IF(J7="P1","DO / eskalasi hari ini",IF(J7="P2","PLAN: time block minggu ini",IF(J7="P3","DELEGATE dengan contract","ELIMINATE / batch"))))</f>
        <v>DO / eskalasi hari ini</v>
      </c>
    </row>
    <row r="8" customFormat="false" ht="15" hidden="false" customHeight="false" outlineLevel="0" collapsed="false">
      <c r="A8" s="14"/>
      <c r="B8" s="14"/>
      <c r="C8" s="12"/>
      <c r="D8" s="12"/>
      <c r="E8" s="12"/>
      <c r="F8" s="12"/>
      <c r="G8" s="12"/>
      <c r="H8" s="12"/>
      <c r="I8" s="26" t="str">
        <f aca="false">IF(COUNT(C8:H8)&lt;6,"",SUMPRODUCT(C8:H8,$C$5:$H$5)/$I$5)</f>
        <v/>
      </c>
      <c r="J8" s="27" t="str">
        <f aca="false">IF(I8="","",IF(OR(F8=5,G8=5,I8&gt;=4),"P1",IF(I8&gt;=3,"P2",IF(I8&gt;=2,"P3","P4"))))</f>
        <v/>
      </c>
      <c r="K8" s="7" t="str">
        <f aca="false">IF(J8="","",IF(J8="P1","DO / eskalasi hari ini",IF(J8="P2","PLAN: time block minggu ini",IF(J8="P3","DELEGATE dengan contract","ELIMINATE / batch"))))</f>
        <v/>
      </c>
    </row>
    <row r="9" customFormat="false" ht="15" hidden="false" customHeight="false" outlineLevel="0" collapsed="false">
      <c r="A9" s="14"/>
      <c r="B9" s="14"/>
      <c r="C9" s="12"/>
      <c r="D9" s="12"/>
      <c r="E9" s="12"/>
      <c r="F9" s="12"/>
      <c r="G9" s="12"/>
      <c r="H9" s="12"/>
      <c r="I9" s="26" t="str">
        <f aca="false">IF(COUNT(C9:H9)&lt;6,"",SUMPRODUCT(C9:H9,$C$5:$H$5)/$I$5)</f>
        <v/>
      </c>
      <c r="J9" s="27" t="str">
        <f aca="false">IF(I9="","",IF(OR(F9=5,G9=5,I9&gt;=4),"P1",IF(I9&gt;=3,"P2",IF(I9&gt;=2,"P3","P4"))))</f>
        <v/>
      </c>
      <c r="K9" s="7" t="str">
        <f aca="false">IF(J9="","",IF(J9="P1","DO / eskalasi hari ini",IF(J9="P2","PLAN: time block minggu ini",IF(J9="P3","DELEGATE dengan contract","ELIMINATE / batch"))))</f>
        <v/>
      </c>
    </row>
    <row r="10" customFormat="false" ht="15" hidden="false" customHeight="false" outlineLevel="0" collapsed="false">
      <c r="A10" s="14"/>
      <c r="B10" s="14"/>
      <c r="C10" s="12"/>
      <c r="D10" s="12"/>
      <c r="E10" s="12"/>
      <c r="F10" s="12"/>
      <c r="G10" s="12"/>
      <c r="H10" s="12"/>
      <c r="I10" s="26" t="str">
        <f aca="false">IF(COUNT(C10:H10)&lt;6,"",SUMPRODUCT(C10:H10,$C$5:$H$5)/$I$5)</f>
        <v/>
      </c>
      <c r="J10" s="27" t="str">
        <f aca="false">IF(I10="","",IF(OR(F10=5,G10=5,I10&gt;=4),"P1",IF(I10&gt;=3,"P2",IF(I10&gt;=2,"P3","P4"))))</f>
        <v/>
      </c>
      <c r="K10" s="7" t="str">
        <f aca="false">IF(J10="","",IF(J10="P1","DO / eskalasi hari ini",IF(J10="P2","PLAN: time block minggu ini",IF(J10="P3","DELEGATE dengan contract","ELIMINATE / batch"))))</f>
        <v/>
      </c>
    </row>
    <row r="11" customFormat="false" ht="15" hidden="false" customHeight="false" outlineLevel="0" collapsed="false">
      <c r="A11" s="14"/>
      <c r="B11" s="14"/>
      <c r="C11" s="12"/>
      <c r="D11" s="12"/>
      <c r="E11" s="12"/>
      <c r="F11" s="12"/>
      <c r="G11" s="12"/>
      <c r="H11" s="12"/>
      <c r="I11" s="26" t="str">
        <f aca="false">IF(COUNT(C11:H11)&lt;6,"",SUMPRODUCT(C11:H11,$C$5:$H$5)/$I$5)</f>
        <v/>
      </c>
      <c r="J11" s="27" t="str">
        <f aca="false">IF(I11="","",IF(OR(F11=5,G11=5,I11&gt;=4),"P1",IF(I11&gt;=3,"P2",IF(I11&gt;=2,"P3","P4"))))</f>
        <v/>
      </c>
      <c r="K11" s="7" t="str">
        <f aca="false">IF(J11="","",IF(J11="P1","DO / eskalasi hari ini",IF(J11="P2","PLAN: time block minggu ini",IF(J11="P3","DELEGATE dengan contract","ELIMINATE / batch"))))</f>
        <v/>
      </c>
    </row>
    <row r="12" customFormat="false" ht="15" hidden="false" customHeight="false" outlineLevel="0" collapsed="false">
      <c r="A12" s="14"/>
      <c r="B12" s="14"/>
      <c r="C12" s="12"/>
      <c r="D12" s="12"/>
      <c r="E12" s="12"/>
      <c r="F12" s="12"/>
      <c r="G12" s="12"/>
      <c r="H12" s="12"/>
      <c r="I12" s="26" t="str">
        <f aca="false">IF(COUNT(C12:H12)&lt;6,"",SUMPRODUCT(C12:H12,$C$5:$H$5)/$I$5)</f>
        <v/>
      </c>
      <c r="J12" s="27" t="str">
        <f aca="false">IF(I12="","",IF(OR(F12=5,G12=5,I12&gt;=4),"P1",IF(I12&gt;=3,"P2",IF(I12&gt;=2,"P3","P4"))))</f>
        <v/>
      </c>
      <c r="K12" s="7" t="str">
        <f aca="false">IF(J12="","",IF(J12="P1","DO / eskalasi hari ini",IF(J12="P2","PLAN: time block minggu ini",IF(J12="P3","DELEGATE dengan contract","ELIMINATE / batch"))))</f>
        <v/>
      </c>
    </row>
    <row r="13" customFormat="false" ht="15" hidden="false" customHeight="false" outlineLevel="0" collapsed="false">
      <c r="A13" s="14"/>
      <c r="B13" s="14"/>
      <c r="C13" s="12"/>
      <c r="D13" s="12"/>
      <c r="E13" s="12"/>
      <c r="F13" s="12"/>
      <c r="G13" s="12"/>
      <c r="H13" s="12"/>
      <c r="I13" s="26" t="str">
        <f aca="false">IF(COUNT(C13:H13)&lt;6,"",SUMPRODUCT(C13:H13,$C$5:$H$5)/$I$5)</f>
        <v/>
      </c>
      <c r="J13" s="27" t="str">
        <f aca="false">IF(I13="","",IF(OR(F13=5,G13=5,I13&gt;=4),"P1",IF(I13&gt;=3,"P2",IF(I13&gt;=2,"P3","P4"))))</f>
        <v/>
      </c>
      <c r="K13" s="7" t="str">
        <f aca="false">IF(J13="","",IF(J13="P1","DO / eskalasi hari ini",IF(J13="P2","PLAN: time block minggu ini",IF(J13="P3","DELEGATE dengan contract","ELIMINATE / batch"))))</f>
        <v/>
      </c>
    </row>
    <row r="14" customFormat="false" ht="15" hidden="false" customHeight="false" outlineLevel="0" collapsed="false">
      <c r="A14" s="14"/>
      <c r="B14" s="14"/>
      <c r="C14" s="12"/>
      <c r="D14" s="12"/>
      <c r="E14" s="12"/>
      <c r="F14" s="12"/>
      <c r="G14" s="12"/>
      <c r="H14" s="12"/>
      <c r="I14" s="26" t="str">
        <f aca="false">IF(COUNT(C14:H14)&lt;6,"",SUMPRODUCT(C14:H14,$C$5:$H$5)/$I$5)</f>
        <v/>
      </c>
      <c r="J14" s="27" t="str">
        <f aca="false">IF(I14="","",IF(OR(F14=5,G14=5,I14&gt;=4),"P1",IF(I14&gt;=3,"P2",IF(I14&gt;=2,"P3","P4"))))</f>
        <v/>
      </c>
      <c r="K14" s="7" t="str">
        <f aca="false">IF(J14="","",IF(J14="P1","DO / eskalasi hari ini",IF(J14="P2","PLAN: time block minggu ini",IF(J14="P3","DELEGATE dengan contract","ELIMINATE / batch"))))</f>
        <v/>
      </c>
    </row>
    <row r="15" customFormat="false" ht="15" hidden="false" customHeight="false" outlineLevel="0" collapsed="false">
      <c r="A15" s="14"/>
      <c r="B15" s="14"/>
      <c r="C15" s="12"/>
      <c r="D15" s="12"/>
      <c r="E15" s="12"/>
      <c r="F15" s="12"/>
      <c r="G15" s="12"/>
      <c r="H15" s="12"/>
      <c r="I15" s="26" t="str">
        <f aca="false">IF(COUNT(C15:H15)&lt;6,"",SUMPRODUCT(C15:H15,$C$5:$H$5)/$I$5)</f>
        <v/>
      </c>
      <c r="J15" s="27" t="str">
        <f aca="false">IF(I15="","",IF(OR(F15=5,G15=5,I15&gt;=4),"P1",IF(I15&gt;=3,"P2",IF(I15&gt;=2,"P3","P4"))))</f>
        <v/>
      </c>
      <c r="K15" s="7" t="str">
        <f aca="false">IF(J15="","",IF(J15="P1","DO / eskalasi hari ini",IF(J15="P2","PLAN: time block minggu ini",IF(J15="P3","DELEGATE dengan contract","ELIMINATE / batch"))))</f>
        <v/>
      </c>
    </row>
    <row r="16" customFormat="false" ht="15" hidden="false" customHeight="false" outlineLevel="0" collapsed="false">
      <c r="A16" s="14"/>
      <c r="B16" s="14"/>
      <c r="C16" s="12"/>
      <c r="D16" s="12"/>
      <c r="E16" s="12"/>
      <c r="F16" s="12"/>
      <c r="G16" s="12"/>
      <c r="H16" s="12"/>
      <c r="I16" s="26" t="str">
        <f aca="false">IF(COUNT(C16:H16)&lt;6,"",SUMPRODUCT(C16:H16,$C$5:$H$5)/$I$5)</f>
        <v/>
      </c>
      <c r="J16" s="27" t="str">
        <f aca="false">IF(I16="","",IF(OR(F16=5,G16=5,I16&gt;=4),"P1",IF(I16&gt;=3,"P2",IF(I16&gt;=2,"P3","P4"))))</f>
        <v/>
      </c>
      <c r="K16" s="7" t="str">
        <f aca="false">IF(J16="","",IF(J16="P1","DO / eskalasi hari ini",IF(J16="P2","PLAN: time block minggu ini",IF(J16="P3","DELEGATE dengan contract","ELIMINATE / batch"))))</f>
        <v/>
      </c>
    </row>
    <row r="17" customFormat="false" ht="15" hidden="false" customHeight="false" outlineLevel="0" collapsed="false">
      <c r="A17" s="14"/>
      <c r="B17" s="14"/>
      <c r="C17" s="12"/>
      <c r="D17" s="12"/>
      <c r="E17" s="12"/>
      <c r="F17" s="12"/>
      <c r="G17" s="12"/>
      <c r="H17" s="12"/>
      <c r="I17" s="26" t="str">
        <f aca="false">IF(COUNT(C17:H17)&lt;6,"",SUMPRODUCT(C17:H17,$C$5:$H$5)/$I$5)</f>
        <v/>
      </c>
      <c r="J17" s="27" t="str">
        <f aca="false">IF(I17="","",IF(OR(F17=5,G17=5,I17&gt;=4),"P1",IF(I17&gt;=3,"P2",IF(I17&gt;=2,"P3","P4"))))</f>
        <v/>
      </c>
      <c r="K17" s="7" t="str">
        <f aca="false">IF(J17="","",IF(J17="P1","DO / eskalasi hari ini",IF(J17="P2","PLAN: time block minggu ini",IF(J17="P3","DELEGATE dengan contract","ELIMINATE / batch"))))</f>
        <v/>
      </c>
    </row>
    <row r="18" customFormat="false" ht="15" hidden="false" customHeight="false" outlineLevel="0" collapsed="false">
      <c r="A18" s="14"/>
      <c r="B18" s="14"/>
      <c r="C18" s="12"/>
      <c r="D18" s="12"/>
      <c r="E18" s="12"/>
      <c r="F18" s="12"/>
      <c r="G18" s="12"/>
      <c r="H18" s="12"/>
      <c r="I18" s="26" t="str">
        <f aca="false">IF(COUNT(C18:H18)&lt;6,"",SUMPRODUCT(C18:H18,$C$5:$H$5)/$I$5)</f>
        <v/>
      </c>
      <c r="J18" s="27" t="str">
        <f aca="false">IF(I18="","",IF(OR(F18=5,G18=5,I18&gt;=4),"P1",IF(I18&gt;=3,"P2",IF(I18&gt;=2,"P3","P4"))))</f>
        <v/>
      </c>
      <c r="K18" s="7" t="str">
        <f aca="false">IF(J18="","",IF(J18="P1","DO / eskalasi hari ini",IF(J18="P2","PLAN: time block minggu ini",IF(J18="P3","DELEGATE dengan contract","ELIMINATE / batch"))))</f>
        <v/>
      </c>
    </row>
    <row r="19" customFormat="false" ht="15" hidden="false" customHeight="false" outlineLevel="0" collapsed="false">
      <c r="A19" s="14"/>
      <c r="B19" s="14"/>
      <c r="C19" s="12"/>
      <c r="D19" s="12"/>
      <c r="E19" s="12"/>
      <c r="F19" s="12"/>
      <c r="G19" s="12"/>
      <c r="H19" s="12"/>
      <c r="I19" s="26" t="str">
        <f aca="false">IF(COUNT(C19:H19)&lt;6,"",SUMPRODUCT(C19:H19,$C$5:$H$5)/$I$5)</f>
        <v/>
      </c>
      <c r="J19" s="27" t="str">
        <f aca="false">IF(I19="","",IF(OR(F19=5,G19=5,I19&gt;=4),"P1",IF(I19&gt;=3,"P2",IF(I19&gt;=2,"P3","P4"))))</f>
        <v/>
      </c>
      <c r="K19" s="7" t="str">
        <f aca="false">IF(J19="","",IF(J19="P1","DO / eskalasi hari ini",IF(J19="P2","PLAN: time block minggu ini",IF(J19="P3","DELEGATE dengan contract","ELIMINATE / batch"))))</f>
        <v/>
      </c>
    </row>
    <row r="20" customFormat="false" ht="15" hidden="false" customHeight="false" outlineLevel="0" collapsed="false">
      <c r="A20" s="14"/>
      <c r="B20" s="14"/>
      <c r="C20" s="12"/>
      <c r="D20" s="12"/>
      <c r="E20" s="12"/>
      <c r="F20" s="12"/>
      <c r="G20" s="12"/>
      <c r="H20" s="12"/>
      <c r="I20" s="26" t="str">
        <f aca="false">IF(COUNT(C20:H20)&lt;6,"",SUMPRODUCT(C20:H20,$C$5:$H$5)/$I$5)</f>
        <v/>
      </c>
      <c r="J20" s="27" t="str">
        <f aca="false">IF(I20="","",IF(OR(F20=5,G20=5,I20&gt;=4),"P1",IF(I20&gt;=3,"P2",IF(I20&gt;=2,"P3","P4"))))</f>
        <v/>
      </c>
      <c r="K20" s="7" t="str">
        <f aca="false">IF(J20="","",IF(J20="P1","DO / eskalasi hari ini",IF(J20="P2","PLAN: time block minggu ini",IF(J20="P3","DELEGATE dengan contract","ELIMINATE / batch"))))</f>
        <v/>
      </c>
    </row>
    <row r="21" customFormat="false" ht="15" hidden="false" customHeight="false" outlineLevel="0" collapsed="false">
      <c r="A21" s="14"/>
      <c r="B21" s="14"/>
      <c r="C21" s="12"/>
      <c r="D21" s="12"/>
      <c r="E21" s="12"/>
      <c r="F21" s="12"/>
      <c r="G21" s="12"/>
      <c r="H21" s="12"/>
      <c r="I21" s="26" t="str">
        <f aca="false">IF(COUNT(C21:H21)&lt;6,"",SUMPRODUCT(C21:H21,$C$5:$H$5)/$I$5)</f>
        <v/>
      </c>
      <c r="J21" s="27" t="str">
        <f aca="false">IF(I21="","",IF(OR(F21=5,G21=5,I21&gt;=4),"P1",IF(I21&gt;=3,"P2",IF(I21&gt;=2,"P3","P4"))))</f>
        <v/>
      </c>
      <c r="K21" s="7" t="str">
        <f aca="false">IF(J21="","",IF(J21="P1","DO / eskalasi hari ini",IF(J21="P2","PLAN: time block minggu ini",IF(J21="P3","DELEGATE dengan contract","ELIMINATE / batch"))))</f>
        <v/>
      </c>
    </row>
    <row r="23" customFormat="false" ht="15" hidden="false" customHeight="false" outlineLevel="0" collapsed="false">
      <c r="A23" s="17" t="s">
        <v>173</v>
      </c>
    </row>
    <row r="24" customFormat="false" ht="30" hidden="false" customHeight="true" outlineLevel="0" collapsed="false">
      <c r="A24" s="5" t="s">
        <v>169</v>
      </c>
      <c r="B24" s="5" t="s">
        <v>174</v>
      </c>
      <c r="C24" s="5" t="s">
        <v>175</v>
      </c>
    </row>
    <row r="25" customFormat="false" ht="46.25" hidden="false" customHeight="false" outlineLevel="0" collapsed="false">
      <c r="A25" s="27" t="s">
        <v>176</v>
      </c>
      <c r="B25" s="7" t="s">
        <v>177</v>
      </c>
      <c r="C25" s="7" t="s">
        <v>178</v>
      </c>
    </row>
    <row r="26" customFormat="false" ht="46.25" hidden="false" customHeight="false" outlineLevel="0" collapsed="false">
      <c r="A26" s="27" t="s">
        <v>179</v>
      </c>
      <c r="B26" s="7" t="s">
        <v>180</v>
      </c>
      <c r="C26" s="7" t="s">
        <v>181</v>
      </c>
    </row>
    <row r="27" customFormat="false" ht="57.45" hidden="false" customHeight="false" outlineLevel="0" collapsed="false">
      <c r="A27" s="27" t="s">
        <v>182</v>
      </c>
      <c r="B27" s="7" t="s">
        <v>183</v>
      </c>
      <c r="C27" s="7" t="s">
        <v>184</v>
      </c>
    </row>
    <row r="28" customFormat="false" ht="35.05" hidden="false" customHeight="false" outlineLevel="0" collapsed="false">
      <c r="A28" s="27" t="s">
        <v>185</v>
      </c>
      <c r="B28" s="7" t="s">
        <v>186</v>
      </c>
      <c r="C28" s="7" t="s">
        <v>187</v>
      </c>
    </row>
  </sheetData>
  <conditionalFormatting sqref="J7:J21">
    <cfRule type="cellIs" priority="2" operator="equal" aboveAverage="0" equalAverage="0" bottom="0" percent="0" rank="0" text="" dxfId="0">
      <formula>"P1"</formula>
    </cfRule>
    <cfRule type="cellIs" priority="3" operator="equal" aboveAverage="0" equalAverage="0" bottom="0" percent="0" rank="0" text="" dxfId="1">
      <formula>"P2"</formula>
    </cfRule>
    <cfRule type="cellIs" priority="4" operator="equal" aboveAverage="0" equalAverage="0" bottom="0" percent="0" rank="0" text="" dxfId="2">
      <formula>"P3"</formula>
    </cfRule>
    <cfRule type="cellIs" priority="5" operator="equal" aboveAverage="0" equalAverage="0" bottom="0" percent="0" rank="0" text="" dxfId="3">
      <formula>"P4"</formula>
    </cfRule>
  </conditionalFormatting>
  <dataValidations count="1">
    <dataValidation allowBlank="true" error="Isi angka 1–5" errorStyle="stop" operator="between" showDropDown="false" showErrorMessage="true" showInputMessage="false" sqref="C7:H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0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10" min="9" style="0" width="10"/>
  </cols>
  <sheetData>
    <row r="1" customFormat="false" ht="27.75" hidden="false" customHeight="true" outlineLevel="0" collapsed="false">
      <c r="A1" s="9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0" t="s">
        <v>17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188</v>
      </c>
      <c r="B5" s="5" t="s">
        <v>189</v>
      </c>
      <c r="C5" s="5" t="s">
        <v>190</v>
      </c>
      <c r="D5" s="5" t="s">
        <v>191</v>
      </c>
      <c r="E5" s="5" t="s">
        <v>192</v>
      </c>
      <c r="F5" s="5" t="s">
        <v>193</v>
      </c>
      <c r="H5" s="5" t="s">
        <v>113</v>
      </c>
      <c r="I5" s="5" t="s">
        <v>188</v>
      </c>
      <c r="J5" s="5" t="s">
        <v>194</v>
      </c>
    </row>
    <row r="6" customFormat="false" ht="15" hidden="false" customHeight="false" outlineLevel="0" collapsed="false">
      <c r="A6" s="27" t="s">
        <v>195</v>
      </c>
      <c r="B6" s="12" t="s">
        <v>196</v>
      </c>
      <c r="C6" s="12"/>
      <c r="D6" s="12"/>
      <c r="E6" s="12"/>
      <c r="F6" s="12"/>
      <c r="H6" s="11" t="s">
        <v>96</v>
      </c>
      <c r="I6" s="28" t="n">
        <f aca="false">COUNTIF($B$6:$F$23,H6)*0.5</f>
        <v>2</v>
      </c>
      <c r="J6" s="29" t="n">
        <f aca="false">IF(H6="Break","",IFERROR(I6/(SUM($I$6:$I$12)-$I$12),0))</f>
        <v>0.25</v>
      </c>
    </row>
    <row r="7" customFormat="false" ht="15" hidden="false" customHeight="false" outlineLevel="0" collapsed="false">
      <c r="A7" s="27" t="s">
        <v>197</v>
      </c>
      <c r="B7" s="12" t="s">
        <v>96</v>
      </c>
      <c r="C7" s="12"/>
      <c r="D7" s="12"/>
      <c r="E7" s="12"/>
      <c r="F7" s="12"/>
      <c r="H7" s="11" t="s">
        <v>198</v>
      </c>
      <c r="I7" s="28" t="n">
        <f aca="false">COUNTIF($B$6:$F$23,H7)*0.5</f>
        <v>1</v>
      </c>
      <c r="J7" s="29" t="n">
        <f aca="false">IF(H7="Break","",IFERROR(I7/(SUM($I$6:$I$12)-$I$12),0))</f>
        <v>0.125</v>
      </c>
    </row>
    <row r="8" customFormat="false" ht="15" hidden="false" customHeight="false" outlineLevel="0" collapsed="false">
      <c r="A8" s="27" t="s">
        <v>199</v>
      </c>
      <c r="B8" s="12" t="s">
        <v>96</v>
      </c>
      <c r="C8" s="12"/>
      <c r="D8" s="12"/>
      <c r="E8" s="12"/>
      <c r="F8" s="12"/>
      <c r="H8" s="11" t="s">
        <v>118</v>
      </c>
      <c r="I8" s="28" t="n">
        <f aca="false">COUNTIF($B$6:$F$23,H8)*0.5</f>
        <v>1.5</v>
      </c>
      <c r="J8" s="29" t="n">
        <f aca="false">IF(H8="Break","",IFERROR(I8/(SUM($I$6:$I$12)-$I$12),0))</f>
        <v>0.1875</v>
      </c>
    </row>
    <row r="9" customFormat="false" ht="15" hidden="false" customHeight="false" outlineLevel="0" collapsed="false">
      <c r="A9" s="27" t="s">
        <v>200</v>
      </c>
      <c r="B9" s="12" t="s">
        <v>118</v>
      </c>
      <c r="C9" s="12"/>
      <c r="D9" s="12"/>
      <c r="E9" s="12"/>
      <c r="F9" s="12"/>
      <c r="H9" s="11" t="s">
        <v>201</v>
      </c>
      <c r="I9" s="28" t="n">
        <f aca="false">COUNTIF($B$6:$F$23,H9)*0.5</f>
        <v>0.5</v>
      </c>
      <c r="J9" s="29" t="n">
        <f aca="false">IF(H9="Break","",IFERROR(I9/(SUM($I$6:$I$12)-$I$12),0))</f>
        <v>0.0625</v>
      </c>
    </row>
    <row r="10" customFormat="false" ht="15" hidden="false" customHeight="false" outlineLevel="0" collapsed="false">
      <c r="A10" s="27" t="s">
        <v>202</v>
      </c>
      <c r="B10" s="12" t="s">
        <v>118</v>
      </c>
      <c r="C10" s="12"/>
      <c r="D10" s="12"/>
      <c r="E10" s="12"/>
      <c r="F10" s="12"/>
      <c r="H10" s="11" t="s">
        <v>196</v>
      </c>
      <c r="I10" s="28" t="n">
        <f aca="false">COUNTIF($B$6:$F$23,H10)*0.5</f>
        <v>1.5</v>
      </c>
      <c r="J10" s="29" t="n">
        <f aca="false">IF(H10="Break","",IFERROR(I10/(SUM($I$6:$I$12)-$I$12),0))</f>
        <v>0.1875</v>
      </c>
    </row>
    <row r="11" customFormat="false" ht="15" hidden="false" customHeight="false" outlineLevel="0" collapsed="false">
      <c r="A11" s="27" t="s">
        <v>203</v>
      </c>
      <c r="B11" s="12" t="s">
        <v>204</v>
      </c>
      <c r="C11" s="12"/>
      <c r="D11" s="12"/>
      <c r="E11" s="12"/>
      <c r="F11" s="12"/>
      <c r="H11" s="11" t="s">
        <v>204</v>
      </c>
      <c r="I11" s="28" t="n">
        <f aca="false">COUNTIF($B$6:$F$23,H11)*0.5</f>
        <v>1.5</v>
      </c>
      <c r="J11" s="29" t="n">
        <f aca="false">IF(H11="Break","",IFERROR(I11/(SUM($I$6:$I$12)-$I$12),0))</f>
        <v>0.1875</v>
      </c>
    </row>
    <row r="12" customFormat="false" ht="15" hidden="false" customHeight="false" outlineLevel="0" collapsed="false">
      <c r="A12" s="27" t="s">
        <v>205</v>
      </c>
      <c r="B12" s="12" t="s">
        <v>196</v>
      </c>
      <c r="C12" s="12"/>
      <c r="D12" s="12"/>
      <c r="E12" s="12"/>
      <c r="F12" s="12"/>
      <c r="H12" s="11" t="s">
        <v>206</v>
      </c>
      <c r="I12" s="28" t="n">
        <f aca="false">COUNTIF($B$6:$F$23,H12)*0.5</f>
        <v>1</v>
      </c>
      <c r="J12" s="29" t="str">
        <f aca="false">IF(H12="Break","",IFERROR(I12/(SUM($I$6:$I$12)-$I$12),0))</f>
        <v/>
      </c>
    </row>
    <row r="13" customFormat="false" ht="15" hidden="false" customHeight="false" outlineLevel="0" collapsed="false">
      <c r="A13" s="27" t="s">
        <v>207</v>
      </c>
      <c r="B13" s="12" t="s">
        <v>198</v>
      </c>
      <c r="C13" s="12"/>
      <c r="D13" s="12"/>
      <c r="E13" s="12"/>
      <c r="F13" s="12"/>
    </row>
    <row r="14" customFormat="false" ht="15" hidden="false" customHeight="false" outlineLevel="0" collapsed="false">
      <c r="A14" s="27" t="s">
        <v>208</v>
      </c>
      <c r="B14" s="12" t="s">
        <v>206</v>
      </c>
      <c r="C14" s="12"/>
      <c r="D14" s="12"/>
      <c r="E14" s="12"/>
      <c r="F14" s="12"/>
      <c r="H14" s="15" t="s">
        <v>209</v>
      </c>
      <c r="I14" s="15" t="str">
        <f aca="false">IF(J11="","",IF(AND(J11&gt;=0.15,J11&lt;=0.2),"IDEAL",IF(J11&lt;0.15,"Kurang buffer","Buffer berlebih")))</f>
        <v>IDEAL</v>
      </c>
      <c r="J14" s="15"/>
    </row>
    <row r="15" customFormat="false" ht="15" hidden="false" customHeight="false" outlineLevel="0" collapsed="false">
      <c r="A15" s="27" t="s">
        <v>210</v>
      </c>
      <c r="B15" s="12" t="s">
        <v>206</v>
      </c>
      <c r="C15" s="12"/>
      <c r="D15" s="12"/>
      <c r="E15" s="12"/>
      <c r="F15" s="12"/>
      <c r="H15" s="15" t="s">
        <v>211</v>
      </c>
      <c r="I15" s="15" t="str">
        <f aca="false">IF(J6&gt;=0.2,"Focus cukup","Tambah focus block")</f>
        <v>Focus cukup</v>
      </c>
      <c r="J15" s="15"/>
    </row>
    <row r="16" customFormat="false" ht="15" hidden="false" customHeight="false" outlineLevel="0" collapsed="false">
      <c r="A16" s="27" t="s">
        <v>212</v>
      </c>
      <c r="B16" s="12" t="s">
        <v>201</v>
      </c>
      <c r="C16" s="12"/>
      <c r="D16" s="12"/>
      <c r="E16" s="12"/>
      <c r="F16" s="12"/>
    </row>
    <row r="17" customFormat="false" ht="15" hidden="false" customHeight="true" outlineLevel="0" collapsed="false">
      <c r="A17" s="27" t="s">
        <v>213</v>
      </c>
      <c r="B17" s="12" t="s">
        <v>96</v>
      </c>
      <c r="C17" s="12"/>
      <c r="D17" s="12"/>
      <c r="E17" s="12"/>
      <c r="F17" s="12"/>
      <c r="H17" s="7" t="s">
        <v>214</v>
      </c>
      <c r="I17" s="7"/>
      <c r="J17" s="7"/>
    </row>
    <row r="18" customFormat="false" ht="15" hidden="false" customHeight="false" outlineLevel="0" collapsed="false">
      <c r="A18" s="27" t="s">
        <v>215</v>
      </c>
      <c r="B18" s="12" t="s">
        <v>96</v>
      </c>
      <c r="C18" s="12"/>
      <c r="D18" s="12"/>
      <c r="E18" s="12"/>
      <c r="F18" s="12"/>
      <c r="H18" s="7"/>
      <c r="I18" s="7"/>
      <c r="J18" s="7"/>
    </row>
    <row r="19" customFormat="false" ht="15" hidden="false" customHeight="false" outlineLevel="0" collapsed="false">
      <c r="A19" s="27" t="s">
        <v>216</v>
      </c>
      <c r="B19" s="12" t="s">
        <v>204</v>
      </c>
      <c r="C19" s="12"/>
      <c r="D19" s="12"/>
      <c r="E19" s="12"/>
      <c r="F19" s="12"/>
      <c r="H19" s="7"/>
      <c r="I19" s="7"/>
      <c r="J19" s="7"/>
    </row>
    <row r="20" customFormat="false" ht="15" hidden="false" customHeight="false" outlineLevel="0" collapsed="false">
      <c r="A20" s="27" t="s">
        <v>217</v>
      </c>
      <c r="B20" s="12" t="s">
        <v>118</v>
      </c>
      <c r="C20" s="12"/>
      <c r="D20" s="12"/>
      <c r="E20" s="12"/>
      <c r="F20" s="12"/>
      <c r="H20" s="7"/>
      <c r="I20" s="7"/>
      <c r="J20" s="7"/>
    </row>
    <row r="21" customFormat="false" ht="15" hidden="false" customHeight="false" outlineLevel="0" collapsed="false">
      <c r="A21" s="27" t="s">
        <v>218</v>
      </c>
      <c r="B21" s="12" t="s">
        <v>196</v>
      </c>
      <c r="C21" s="12"/>
      <c r="D21" s="12"/>
      <c r="E21" s="12"/>
      <c r="F21" s="12"/>
    </row>
    <row r="22" customFormat="false" ht="15" hidden="false" customHeight="false" outlineLevel="0" collapsed="false">
      <c r="A22" s="27" t="s">
        <v>219</v>
      </c>
      <c r="B22" s="12" t="s">
        <v>198</v>
      </c>
      <c r="C22" s="12"/>
      <c r="D22" s="12"/>
      <c r="E22" s="12"/>
      <c r="F22" s="12"/>
    </row>
    <row r="23" customFormat="false" ht="15" hidden="false" customHeight="false" outlineLevel="0" collapsed="false">
      <c r="A23" s="27" t="s">
        <v>220</v>
      </c>
      <c r="B23" s="12" t="s">
        <v>204</v>
      </c>
      <c r="C23" s="12"/>
      <c r="D23" s="12"/>
      <c r="E23" s="12"/>
      <c r="F23" s="12"/>
    </row>
  </sheetData>
  <mergeCells count="3">
    <mergeCell ref="I14:J14"/>
    <mergeCell ref="I15:J15"/>
    <mergeCell ref="H17:J20"/>
  </mergeCells>
  <conditionalFormatting sqref="B6:F23">
    <cfRule type="cellIs" priority="2" operator="equal" aboveAverage="0" equalAverage="0" bottom="0" percent="0" rank="0" text="" dxfId="4">
      <formula>"Focus"</formula>
    </cfRule>
    <cfRule type="cellIs" priority="3" operator="equal" aboveAverage="0" equalAverage="0" bottom="0" percent="0" rank="0" text="" dxfId="1">
      <formula>"Meeting"</formula>
    </cfRule>
    <cfRule type="cellIs" priority="4" operator="equal" aboveAverage="0" equalAverage="0" bottom="0" percent="0" rank="0" text="" dxfId="2">
      <formula>"Customer"</formula>
    </cfRule>
    <cfRule type="cellIs" priority="5" operator="equal" aboveAverage="0" equalAverage="0" bottom="0" percent="0" rank="0" text="" dxfId="5">
      <formula>"People/Coaching"</formula>
    </cfRule>
    <cfRule type="cellIs" priority="6" operator="equal" aboveAverage="0" equalAverage="0" bottom="0" percent="0" rank="0" text="" dxfId="6">
      <formula>"Admin/Batch"</formula>
    </cfRule>
    <cfRule type="cellIs" priority="7" operator="equal" aboveAverage="0" equalAverage="0" bottom="0" percent="0" rank="0" text="" dxfId="7">
      <formula>"Buffer"</formula>
    </cfRule>
    <cfRule type="cellIs" priority="8" operator="equal" aboveAverage="0" equalAverage="0" bottom="0" percent="0" rank="0" text="" dxfId="8">
      <formula>"Break"</formula>
    </cfRule>
  </conditionalFormatting>
  <dataValidations count="1">
    <dataValidation allowBlank="true" errorStyle="stop" operator="between" showDropDown="false" showErrorMessage="false" showInputMessage="false" sqref="B6:F23" type="list">
      <formula1>"Focus,Meeting,Customer,People/Coaching,Admin/Batch,Buffer,Break"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9" t="s">
        <v>19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10" t="s">
        <v>20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221</v>
      </c>
      <c r="B5" s="5" t="s">
        <v>222</v>
      </c>
      <c r="C5" s="5" t="s">
        <v>223</v>
      </c>
      <c r="D5" s="5" t="s">
        <v>224</v>
      </c>
      <c r="E5" s="5" t="s">
        <v>223</v>
      </c>
      <c r="F5" s="5" t="s">
        <v>225</v>
      </c>
      <c r="G5" s="5" t="s">
        <v>223</v>
      </c>
      <c r="H5" s="5" t="s">
        <v>226</v>
      </c>
    </row>
    <row r="6" customFormat="false" ht="15" hidden="false" customHeight="false" outlineLevel="0" collapsed="false">
      <c r="A6" s="30"/>
      <c r="B6" s="14" t="s">
        <v>227</v>
      </c>
      <c r="C6" s="12" t="s">
        <v>131</v>
      </c>
      <c r="D6" s="14" t="s">
        <v>228</v>
      </c>
      <c r="E6" s="12" t="s">
        <v>125</v>
      </c>
      <c r="F6" s="14" t="s">
        <v>229</v>
      </c>
      <c r="G6" s="12" t="s">
        <v>131</v>
      </c>
      <c r="H6" s="13" t="str">
        <f aca="false">IF(B6="","",COUNTIF(C6,"Y")+COUNTIF(E6,"Y")+COUNTIF(G6,"Y")&amp;"/3")</f>
        <v>2/3</v>
      </c>
    </row>
    <row r="7" customFormat="false" ht="15" hidden="false" customHeight="false" outlineLevel="0" collapsed="false">
      <c r="A7" s="30"/>
      <c r="B7" s="14"/>
      <c r="C7" s="12"/>
      <c r="D7" s="14"/>
      <c r="E7" s="12"/>
      <c r="F7" s="14"/>
      <c r="G7" s="12"/>
      <c r="H7" s="13" t="str">
        <f aca="false">IF(B7="","",COUNTIF(C7,"Y")+COUNTIF(E7,"Y")+COUNTIF(G7,"Y")&amp;"/3")</f>
        <v/>
      </c>
    </row>
    <row r="8" customFormat="false" ht="15" hidden="false" customHeight="false" outlineLevel="0" collapsed="false">
      <c r="A8" s="30"/>
      <c r="B8" s="14"/>
      <c r="C8" s="12"/>
      <c r="D8" s="14"/>
      <c r="E8" s="12"/>
      <c r="F8" s="14"/>
      <c r="G8" s="12"/>
      <c r="H8" s="13" t="str">
        <f aca="false">IF(B8="","",COUNTIF(C8,"Y")+COUNTIF(E8,"Y")+COUNTIF(G8,"Y")&amp;"/3")</f>
        <v/>
      </c>
    </row>
    <row r="9" customFormat="false" ht="15" hidden="false" customHeight="false" outlineLevel="0" collapsed="false">
      <c r="A9" s="30"/>
      <c r="B9" s="14"/>
      <c r="C9" s="12"/>
      <c r="D9" s="14"/>
      <c r="E9" s="12"/>
      <c r="F9" s="14"/>
      <c r="G9" s="12"/>
      <c r="H9" s="13" t="str">
        <f aca="false">IF(B9="","",COUNTIF(C9,"Y")+COUNTIF(E9,"Y")+COUNTIF(G9,"Y")&amp;"/3")</f>
        <v/>
      </c>
    </row>
    <row r="10" customFormat="false" ht="15" hidden="false" customHeight="false" outlineLevel="0" collapsed="false">
      <c r="A10" s="30"/>
      <c r="B10" s="14"/>
      <c r="C10" s="12"/>
      <c r="D10" s="14"/>
      <c r="E10" s="12"/>
      <c r="F10" s="14"/>
      <c r="G10" s="12"/>
      <c r="H10" s="13" t="str">
        <f aca="false">IF(B10="","",COUNTIF(C10,"Y")+COUNTIF(E10,"Y")+COUNTIF(G10,"Y")&amp;"/3")</f>
        <v/>
      </c>
    </row>
    <row r="11" customFormat="false" ht="15" hidden="false" customHeight="false" outlineLevel="0" collapsed="false">
      <c r="A11" s="30"/>
      <c r="B11" s="14"/>
      <c r="C11" s="12"/>
      <c r="D11" s="14"/>
      <c r="E11" s="12"/>
      <c r="F11" s="14"/>
      <c r="G11" s="12"/>
      <c r="H11" s="13" t="str">
        <f aca="false">IF(B11="","",COUNTIF(C11,"Y")+COUNTIF(E11,"Y")+COUNTIF(G11,"Y")&amp;"/3")</f>
        <v/>
      </c>
    </row>
    <row r="12" customFormat="false" ht="15" hidden="false" customHeight="false" outlineLevel="0" collapsed="false">
      <c r="A12" s="30"/>
      <c r="B12" s="14"/>
      <c r="C12" s="12"/>
      <c r="D12" s="14"/>
      <c r="E12" s="12"/>
      <c r="F12" s="14"/>
      <c r="G12" s="12"/>
      <c r="H12" s="13" t="str">
        <f aca="false">IF(B12="","",COUNTIF(C12,"Y")+COUNTIF(E12,"Y")+COUNTIF(G12,"Y")&amp;"/3")</f>
        <v/>
      </c>
    </row>
    <row r="13" customFormat="false" ht="15" hidden="false" customHeight="false" outlineLevel="0" collapsed="false">
      <c r="A13" s="30"/>
      <c r="B13" s="14"/>
      <c r="C13" s="12"/>
      <c r="D13" s="14"/>
      <c r="E13" s="12"/>
      <c r="F13" s="14"/>
      <c r="G13" s="12"/>
      <c r="H13" s="13" t="str">
        <f aca="false">IF(B13="","",COUNTIF(C13,"Y")+COUNTIF(E13,"Y")+COUNTIF(G13,"Y")&amp;"/3")</f>
        <v/>
      </c>
    </row>
    <row r="14" customFormat="false" ht="15" hidden="false" customHeight="false" outlineLevel="0" collapsed="false">
      <c r="A14" s="30"/>
      <c r="B14" s="14"/>
      <c r="C14" s="12"/>
      <c r="D14" s="14"/>
      <c r="E14" s="12"/>
      <c r="F14" s="14"/>
      <c r="G14" s="12"/>
      <c r="H14" s="13" t="str">
        <f aca="false">IF(B14="","",COUNTIF(C14,"Y")+COUNTIF(E14,"Y")+COUNTIF(G14,"Y")&amp;"/3")</f>
        <v/>
      </c>
    </row>
    <row r="15" customFormat="false" ht="15" hidden="false" customHeight="false" outlineLevel="0" collapsed="false">
      <c r="A15" s="30"/>
      <c r="B15" s="14"/>
      <c r="C15" s="12"/>
      <c r="D15" s="14"/>
      <c r="E15" s="12"/>
      <c r="F15" s="14"/>
      <c r="G15" s="12"/>
      <c r="H15" s="13" t="str">
        <f aca="false">IF(B15="","",COUNTIF(C15,"Y")+COUNTIF(E15,"Y")+COUNTIF(G15,"Y")&amp;"/3")</f>
        <v/>
      </c>
    </row>
    <row r="16" customFormat="false" ht="23.85" hidden="false" customHeight="false" outlineLevel="0" collapsed="false">
      <c r="A16" s="15" t="s">
        <v>230</v>
      </c>
      <c r="B16" s="31" t="n">
        <f aca="false">IFERROR((COUNTIF(C6:C15,"Y")+COUNTIF(E6:E15,"Y")+COUNTIF(G6:G15,"Y"))/(3*COUNTA(B6:B15)),"")</f>
        <v>0.666666666666667</v>
      </c>
    </row>
    <row r="18" customFormat="false" ht="15" hidden="false" customHeight="false" outlineLevel="0" collapsed="false">
      <c r="A18" s="17" t="s">
        <v>231</v>
      </c>
    </row>
    <row r="19" customFormat="false" ht="30" hidden="false" customHeight="true" outlineLevel="0" collapsed="false">
      <c r="A19" s="5" t="s">
        <v>232</v>
      </c>
      <c r="B19" s="5" t="s">
        <v>233</v>
      </c>
      <c r="C19" s="5" t="s">
        <v>234</v>
      </c>
      <c r="D19" s="5" t="s">
        <v>235</v>
      </c>
    </row>
    <row r="20" customFormat="false" ht="15" hidden="false" customHeight="false" outlineLevel="0" collapsed="false">
      <c r="A20" s="13" t="n">
        <v>1</v>
      </c>
      <c r="B20" s="7" t="s">
        <v>236</v>
      </c>
      <c r="C20" s="12"/>
      <c r="D20" s="13" t="s">
        <v>237</v>
      </c>
    </row>
    <row r="21" customFormat="false" ht="15" hidden="false" customHeight="false" outlineLevel="0" collapsed="false">
      <c r="A21" s="13" t="n">
        <v>2</v>
      </c>
      <c r="B21" s="7" t="s">
        <v>238</v>
      </c>
      <c r="C21" s="12"/>
      <c r="D21" s="13" t="s">
        <v>239</v>
      </c>
    </row>
    <row r="22" customFormat="false" ht="15" hidden="false" customHeight="false" outlineLevel="0" collapsed="false">
      <c r="A22" s="13" t="n">
        <v>3</v>
      </c>
      <c r="B22" s="7" t="s">
        <v>240</v>
      </c>
      <c r="C22" s="12"/>
      <c r="D22" s="13" t="s">
        <v>237</v>
      </c>
    </row>
    <row r="23" customFormat="false" ht="15" hidden="false" customHeight="false" outlineLevel="0" collapsed="false">
      <c r="A23" s="13" t="n">
        <v>4</v>
      </c>
      <c r="B23" s="7" t="s">
        <v>241</v>
      </c>
      <c r="C23" s="12"/>
      <c r="D23" s="13" t="s">
        <v>239</v>
      </c>
    </row>
    <row r="24" customFormat="false" ht="15" hidden="false" customHeight="false" outlineLevel="0" collapsed="false">
      <c r="A24" s="13" t="n">
        <v>5</v>
      </c>
      <c r="B24" s="7" t="s">
        <v>242</v>
      </c>
      <c r="C24" s="12"/>
      <c r="D24" s="13" t="s">
        <v>239</v>
      </c>
    </row>
    <row r="25" customFormat="false" ht="15" hidden="false" customHeight="false" outlineLevel="0" collapsed="false">
      <c r="A25" s="13" t="n">
        <v>6</v>
      </c>
      <c r="B25" s="7" t="s">
        <v>243</v>
      </c>
      <c r="C25" s="12"/>
      <c r="D25" s="13" t="s">
        <v>239</v>
      </c>
    </row>
    <row r="26" customFormat="false" ht="15" hidden="false" customHeight="false" outlineLevel="0" collapsed="false">
      <c r="A26" s="13" t="n">
        <v>7</v>
      </c>
      <c r="B26" s="7" t="s">
        <v>244</v>
      </c>
      <c r="C26" s="12"/>
      <c r="D26" s="13" t="s">
        <v>237</v>
      </c>
    </row>
    <row r="27" customFormat="false" ht="15" hidden="false" customHeight="false" outlineLevel="0" collapsed="false">
      <c r="B27" s="8" t="s">
        <v>245</v>
      </c>
      <c r="C27" s="8" t="str">
        <f aca="false">IF(COUNTA(C20:C26)&lt;7,"Lengkapi",IF(AND(C20="Y",C22="Y",C26="Y"),IF(COUNTIF(C20:C26,"Y")&gt;=5,"GO","GO dengan perbaikan"),"NO-GO / ganti update tertulis"))</f>
        <v>Lengkapi</v>
      </c>
      <c r="D27" s="8"/>
    </row>
  </sheetData>
  <mergeCells count="1">
    <mergeCell ref="C27:D27"/>
  </mergeCells>
  <dataValidations count="4">
    <dataValidation allowBlank="true" errorStyle="stop" operator="between" showDropDown="false" showErrorMessage="false" showInputMessage="false" sqref="C6:C15" type="list">
      <formula1>"Y,N"</formula1>
      <formula2>0</formula2>
    </dataValidation>
    <dataValidation allowBlank="true" errorStyle="stop" operator="between" showDropDown="false" showErrorMessage="false" showInputMessage="false" sqref="E6:E15" type="list">
      <formula1>"Y,N"</formula1>
      <formula2>0</formula2>
    </dataValidation>
    <dataValidation allowBlank="true" errorStyle="stop" operator="between" showDropDown="false" showErrorMessage="false" showInputMessage="false" sqref="G6:G15" type="list">
      <formula1>"Y,N"</formula1>
      <formula2>0</formula2>
    </dataValidation>
    <dataValidation allowBlank="true" errorStyle="stop" operator="between" showDropDown="false" showErrorMessage="false" showInputMessage="false" sqref="C20:C2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6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9" t="s">
        <v>22</v>
      </c>
      <c r="B1" s="2"/>
      <c r="C1" s="2"/>
      <c r="D1" s="2"/>
    </row>
    <row r="2" customFormat="false" ht="15" hidden="false" customHeight="false" outlineLevel="0" collapsed="false">
      <c r="A2" s="10" t="s">
        <v>23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246</v>
      </c>
      <c r="B5" s="5" t="s">
        <v>247</v>
      </c>
      <c r="C5" s="5" t="s">
        <v>248</v>
      </c>
      <c r="D5" s="5" t="s">
        <v>249</v>
      </c>
    </row>
    <row r="6" customFormat="false" ht="15" hidden="false" customHeight="false" outlineLevel="0" collapsed="false">
      <c r="A6" s="11" t="s">
        <v>250</v>
      </c>
      <c r="B6" s="14" t="s">
        <v>251</v>
      </c>
      <c r="C6" s="14"/>
      <c r="D6" s="14"/>
    </row>
    <row r="7" customFormat="false" ht="15" hidden="false" customHeight="false" outlineLevel="0" collapsed="false">
      <c r="A7" s="11" t="s">
        <v>252</v>
      </c>
      <c r="B7" s="14" t="s">
        <v>253</v>
      </c>
      <c r="C7" s="14"/>
      <c r="D7" s="14"/>
    </row>
    <row r="8" customFormat="false" ht="23.85" hidden="false" customHeight="false" outlineLevel="0" collapsed="false">
      <c r="A8" s="11" t="s">
        <v>254</v>
      </c>
      <c r="B8" s="14" t="s">
        <v>255</v>
      </c>
      <c r="C8" s="14"/>
      <c r="D8" s="14"/>
    </row>
    <row r="9" customFormat="false" ht="23.85" hidden="false" customHeight="false" outlineLevel="0" collapsed="false">
      <c r="A9" s="11" t="s">
        <v>256</v>
      </c>
      <c r="B9" s="14" t="s">
        <v>257</v>
      </c>
      <c r="C9" s="14"/>
      <c r="D9" s="14"/>
    </row>
    <row r="10" customFormat="false" ht="23.85" hidden="false" customHeight="false" outlineLevel="0" collapsed="false">
      <c r="A10" s="11" t="s">
        <v>258</v>
      </c>
      <c r="B10" s="14" t="s">
        <v>259</v>
      </c>
      <c r="C10" s="14"/>
      <c r="D10" s="14"/>
    </row>
    <row r="11" customFormat="false" ht="23.85" hidden="false" customHeight="false" outlineLevel="0" collapsed="false">
      <c r="A11" s="11" t="s">
        <v>260</v>
      </c>
      <c r="B11" s="14" t="s">
        <v>261</v>
      </c>
      <c r="C11" s="14"/>
      <c r="D11" s="14"/>
    </row>
    <row r="12" customFormat="false" ht="23.85" hidden="false" customHeight="false" outlineLevel="0" collapsed="false">
      <c r="A12" s="11" t="s">
        <v>262</v>
      </c>
      <c r="B12" s="14" t="s">
        <v>263</v>
      </c>
      <c r="C12" s="14"/>
      <c r="D12" s="14"/>
    </row>
    <row r="13" customFormat="false" ht="15" hidden="false" customHeight="false" outlineLevel="0" collapsed="false">
      <c r="A13" s="11" t="s">
        <v>264</v>
      </c>
      <c r="B13" s="14" t="s">
        <v>265</v>
      </c>
      <c r="C13" s="14"/>
      <c r="D13" s="14"/>
    </row>
    <row r="14" customFormat="false" ht="15" hidden="false" customHeight="false" outlineLevel="0" collapsed="false">
      <c r="A14" s="11" t="s">
        <v>266</v>
      </c>
      <c r="B14" s="14" t="s">
        <v>267</v>
      </c>
      <c r="C14" s="14"/>
      <c r="D14" s="14"/>
    </row>
    <row r="15" customFormat="false" ht="15" hidden="false" customHeight="false" outlineLevel="0" collapsed="false">
      <c r="A15" s="11" t="s">
        <v>268</v>
      </c>
      <c r="B15" s="14" t="s">
        <v>269</v>
      </c>
      <c r="C15" s="14"/>
      <c r="D15" s="14"/>
    </row>
    <row r="16" customFormat="false" ht="15" hidden="false" customHeight="false" outlineLevel="0" collapsed="false">
      <c r="A16" s="15" t="s">
        <v>270</v>
      </c>
      <c r="B16" s="15" t="str">
        <f aca="false">IF(B6="","",COUNTA(B8:B15)&amp;"/8"&amp;IF(COUNTA(B8:B15)&lt;8," — lengkapi",""))</f>
        <v>8/8</v>
      </c>
      <c r="C16" s="15" t="str">
        <f aca="false">IF(C6="","",COUNTA(C8:C15)&amp;"/8"&amp;IF(COUNTA(C8:C15)&lt;8," — lengkapi",""))</f>
        <v/>
      </c>
      <c r="D16" s="15" t="str">
        <f aca="false">IF(D6="","",COUNTA(D8:D15)&amp;"/8"&amp;IF(COUNTA(D8:D15)&lt;8," — lengkapi",""))</f>
        <v/>
      </c>
    </row>
    <row r="18" customFormat="false" ht="15" hidden="false" customHeight="false" outlineLevel="0" collapsed="false">
      <c r="A18" s="17" t="s">
        <v>271</v>
      </c>
    </row>
    <row r="19" customFormat="false" ht="30" hidden="false" customHeight="true" outlineLevel="0" collapsed="false">
      <c r="A19" s="5" t="s">
        <v>169</v>
      </c>
      <c r="B19" s="5" t="s">
        <v>272</v>
      </c>
      <c r="C19" s="5" t="s">
        <v>273</v>
      </c>
      <c r="D19" s="5" t="s">
        <v>274</v>
      </c>
    </row>
    <row r="20" customFormat="false" ht="15" hidden="false" customHeight="false" outlineLevel="0" collapsed="false">
      <c r="A20" s="11" t="s">
        <v>275</v>
      </c>
      <c r="B20" s="7" t="s">
        <v>276</v>
      </c>
      <c r="C20" s="7" t="s">
        <v>277</v>
      </c>
      <c r="D20" s="7" t="s">
        <v>278</v>
      </c>
    </row>
    <row r="21" customFormat="false" ht="15" hidden="false" customHeight="false" outlineLevel="0" collapsed="false">
      <c r="A21" s="11" t="s">
        <v>279</v>
      </c>
      <c r="B21" s="7" t="s">
        <v>280</v>
      </c>
      <c r="C21" s="7" t="s">
        <v>281</v>
      </c>
      <c r="D21" s="7" t="s">
        <v>282</v>
      </c>
    </row>
    <row r="22" customFormat="false" ht="15" hidden="false" customHeight="false" outlineLevel="0" collapsed="false">
      <c r="A22" s="11" t="s">
        <v>253</v>
      </c>
      <c r="B22" s="7" t="s">
        <v>283</v>
      </c>
      <c r="C22" s="7" t="s">
        <v>284</v>
      </c>
      <c r="D22" s="7" t="s">
        <v>285</v>
      </c>
    </row>
    <row r="23" customFormat="false" ht="15" hidden="false" customHeight="false" outlineLevel="0" collapsed="false">
      <c r="A23" s="11" t="s">
        <v>286</v>
      </c>
      <c r="B23" s="7" t="s">
        <v>287</v>
      </c>
      <c r="C23" s="7" t="s">
        <v>288</v>
      </c>
      <c r="D23" s="7" t="s">
        <v>289</v>
      </c>
    </row>
    <row r="24" customFormat="false" ht="15" hidden="false" customHeight="false" outlineLevel="0" collapsed="false">
      <c r="A24" s="11" t="s">
        <v>290</v>
      </c>
      <c r="B24" s="7" t="s">
        <v>291</v>
      </c>
      <c r="C24" s="7" t="s">
        <v>292</v>
      </c>
      <c r="D24" s="7" t="s">
        <v>293</v>
      </c>
    </row>
    <row r="26" customFormat="false" ht="15" hidden="false" customHeight="false" outlineLevel="0" collapsed="false">
      <c r="A26" s="17" t="s">
        <v>294</v>
      </c>
    </row>
    <row r="27" customFormat="false" ht="30" hidden="false" customHeight="true" outlineLevel="0" collapsed="false">
      <c r="A27" s="5" t="s">
        <v>111</v>
      </c>
      <c r="B27" s="5" t="s">
        <v>295</v>
      </c>
      <c r="C27" s="5" t="s">
        <v>296</v>
      </c>
      <c r="D27" s="5" t="s">
        <v>297</v>
      </c>
      <c r="E27" s="32" t="s">
        <v>298</v>
      </c>
      <c r="F27" s="32" t="s">
        <v>299</v>
      </c>
    </row>
    <row r="28" customFormat="false" ht="15" hidden="false" customHeight="false" outlineLevel="0" collapsed="false">
      <c r="A28" s="14" t="s">
        <v>300</v>
      </c>
      <c r="B28" s="12" t="s">
        <v>301</v>
      </c>
      <c r="C28" s="12" t="s">
        <v>302</v>
      </c>
      <c r="D28" s="12" t="s">
        <v>303</v>
      </c>
      <c r="E28" s="12" t="s">
        <v>301</v>
      </c>
      <c r="F28" s="7" t="str">
        <f aca="false">IF(A28="","",IF(COUNTIF(B28:E28,"*A*")=1,"OK (1 A)","Harus tepat 1 A"))</f>
        <v>OK (1 A)</v>
      </c>
    </row>
    <row r="29" customFormat="false" ht="15" hidden="false" customHeight="false" outlineLevel="0" collapsed="false">
      <c r="A29" s="14"/>
      <c r="B29" s="12"/>
      <c r="C29" s="12"/>
      <c r="D29" s="12"/>
      <c r="E29" s="12"/>
      <c r="F29" s="7" t="str">
        <f aca="false">IF(A29="","",IF(COUNTIF(B29:E29,"*A*")=1,"OK (1 A)","Harus tepat 1 A"))</f>
        <v/>
      </c>
    </row>
    <row r="30" customFormat="false" ht="15" hidden="false" customHeight="false" outlineLevel="0" collapsed="false">
      <c r="A30" s="14"/>
      <c r="B30" s="12"/>
      <c r="C30" s="12"/>
      <c r="D30" s="12"/>
      <c r="E30" s="12"/>
      <c r="F30" s="7" t="str">
        <f aca="false">IF(A30="","",IF(COUNTIF(B30:E30,"*A*")=1,"OK (1 A)","Harus tepat 1 A"))</f>
        <v/>
      </c>
    </row>
    <row r="31" customFormat="false" ht="15" hidden="false" customHeight="false" outlineLevel="0" collapsed="false">
      <c r="A31" s="14"/>
      <c r="B31" s="12"/>
      <c r="C31" s="12"/>
      <c r="D31" s="12"/>
      <c r="E31" s="12"/>
      <c r="F31" s="7" t="str">
        <f aca="false">IF(A31="","",IF(COUNTIF(B31:E31,"*A*")=1,"OK (1 A)","Harus tepat 1 A"))</f>
        <v/>
      </c>
    </row>
    <row r="32" customFormat="false" ht="15" hidden="false" customHeight="false" outlineLevel="0" collapsed="false">
      <c r="A32" s="14"/>
      <c r="B32" s="12"/>
      <c r="C32" s="12"/>
      <c r="D32" s="12"/>
      <c r="E32" s="12"/>
      <c r="F32" s="7" t="str">
        <f aca="false">IF(A32="","",IF(COUNTIF(B32:E32,"*A*")=1,"OK (1 A)","Harus tepat 1 A"))</f>
        <v/>
      </c>
    </row>
    <row r="33" customFormat="false" ht="15" hidden="false" customHeight="false" outlineLevel="0" collapsed="false">
      <c r="A33" s="14"/>
      <c r="B33" s="12"/>
      <c r="C33" s="12"/>
      <c r="D33" s="12"/>
      <c r="E33" s="12"/>
      <c r="F33" s="7" t="str">
        <f aca="false">IF(A33="","",IF(COUNTIF(B33:E33,"*A*")=1,"OK (1 A)","Harus tepat 1 A"))</f>
        <v/>
      </c>
    </row>
    <row r="34" customFormat="false" ht="15" hidden="false" customHeight="false" outlineLevel="0" collapsed="false">
      <c r="A34" s="14"/>
      <c r="B34" s="12"/>
      <c r="C34" s="12"/>
      <c r="D34" s="12"/>
      <c r="E34" s="12"/>
      <c r="F34" s="7" t="str">
        <f aca="false">IF(A34="","",IF(COUNTIF(B34:E34,"*A*")=1,"OK (1 A)","Harus tepat 1 A"))</f>
        <v/>
      </c>
    </row>
    <row r="35" customFormat="false" ht="15" hidden="false" customHeight="false" outlineLevel="0" collapsed="false">
      <c r="A35" s="14"/>
      <c r="B35" s="12"/>
      <c r="C35" s="12"/>
      <c r="D35" s="12"/>
      <c r="E35" s="12"/>
      <c r="F35" s="7" t="str">
        <f aca="false">IF(A35="","",IF(COUNTIF(B35:E35,"*A*")=1,"OK (1 A)","Harus tepat 1 A"))</f>
        <v/>
      </c>
    </row>
  </sheetData>
  <dataValidations count="2">
    <dataValidation allowBlank="true" errorStyle="stop" operator="between" showDropDown="false" showErrorMessage="false" showInputMessage="false" sqref="B7:D7" type="list">
      <formula1>"L1,L2,L3,L4,L5"</formula1>
      <formula2>0</formula2>
    </dataValidation>
    <dataValidation allowBlank="true" errorStyle="stop" operator="between" showDropDown="false" showErrorMessage="false" showInputMessage="false" sqref="B28:E35" type="list">
      <formula1>"R,A,C,I,A/R"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</cols>
  <sheetData>
    <row r="1" customFormat="false" ht="27.75" hidden="false" customHeight="true" outlineLevel="0" collapsed="false">
      <c r="A1" s="9" t="s">
        <v>25</v>
      </c>
      <c r="B1" s="2"/>
      <c r="C1" s="2"/>
    </row>
    <row r="2" customFormat="false" ht="15" hidden="false" customHeight="false" outlineLevel="0" collapsed="false">
      <c r="A2" s="10" t="s">
        <v>26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304</v>
      </c>
      <c r="B5" s="5" t="s">
        <v>305</v>
      </c>
      <c r="C5" s="5" t="s">
        <v>306</v>
      </c>
    </row>
    <row r="6" customFormat="false" ht="48" hidden="false" customHeight="true" outlineLevel="0" collapsed="false">
      <c r="A6" s="11" t="s">
        <v>307</v>
      </c>
      <c r="B6" s="7" t="s">
        <v>308</v>
      </c>
      <c r="C6" s="14"/>
    </row>
    <row r="7" customFormat="false" ht="48" hidden="false" customHeight="true" outlineLevel="0" collapsed="false">
      <c r="A7" s="11" t="s">
        <v>309</v>
      </c>
      <c r="B7" s="7" t="s">
        <v>310</v>
      </c>
      <c r="C7" s="14"/>
    </row>
    <row r="8" customFormat="false" ht="48" hidden="false" customHeight="true" outlineLevel="0" collapsed="false">
      <c r="A8" s="11" t="s">
        <v>311</v>
      </c>
      <c r="B8" s="7" t="s">
        <v>312</v>
      </c>
      <c r="C8" s="14"/>
    </row>
    <row r="9" customFormat="false" ht="48" hidden="false" customHeight="true" outlineLevel="0" collapsed="false">
      <c r="A9" s="11" t="s">
        <v>313</v>
      </c>
      <c r="B9" s="7" t="s">
        <v>314</v>
      </c>
      <c r="C9" s="14"/>
    </row>
    <row r="10" customFormat="false" ht="23.85" hidden="false" customHeight="false" outlineLevel="0" collapsed="false">
      <c r="A10" s="11" t="s">
        <v>315</v>
      </c>
      <c r="B10" s="14"/>
    </row>
    <row r="11" customFormat="false" ht="23.85" hidden="false" customHeight="false" outlineLevel="0" collapsed="false">
      <c r="A11" s="11" t="s">
        <v>316</v>
      </c>
      <c r="B11" s="14"/>
    </row>
    <row r="12" customFormat="false" ht="15" hidden="false" customHeight="false" outlineLevel="0" collapsed="false">
      <c r="A12" s="15" t="s">
        <v>317</v>
      </c>
      <c r="B12" s="33" t="str">
        <f aca="false">IFERROR(B10/(B10+B11),"")</f>
        <v/>
      </c>
    </row>
    <row r="14" customFormat="false" ht="15" hidden="false" customHeight="false" outlineLevel="0" collapsed="false">
      <c r="A14" s="17" t="s">
        <v>318</v>
      </c>
    </row>
    <row r="15" customFormat="false" ht="30" hidden="false" customHeight="true" outlineLevel="0" collapsed="false">
      <c r="A15" s="5" t="s">
        <v>246</v>
      </c>
      <c r="B15" s="5" t="s">
        <v>319</v>
      </c>
      <c r="C15" s="5" t="s">
        <v>320</v>
      </c>
    </row>
    <row r="16" customFormat="false" ht="15" hidden="false" customHeight="false" outlineLevel="0" collapsed="false">
      <c r="A16" s="11" t="s">
        <v>321</v>
      </c>
      <c r="B16" s="14" t="s">
        <v>322</v>
      </c>
      <c r="C16" s="7" t="s">
        <v>322</v>
      </c>
    </row>
    <row r="17" customFormat="false" ht="15" hidden="false" customHeight="false" outlineLevel="0" collapsed="false">
      <c r="A17" s="11" t="s">
        <v>323</v>
      </c>
      <c r="B17" s="14" t="s">
        <v>324</v>
      </c>
      <c r="C17" s="7" t="s">
        <v>324</v>
      </c>
    </row>
    <row r="18" customFormat="false" ht="15" hidden="false" customHeight="false" outlineLevel="0" collapsed="false">
      <c r="A18" s="11" t="s">
        <v>325</v>
      </c>
      <c r="B18" s="14" t="s">
        <v>326</v>
      </c>
      <c r="C18" s="7" t="s">
        <v>327</v>
      </c>
    </row>
    <row r="19" customFormat="false" ht="15" hidden="false" customHeight="false" outlineLevel="0" collapsed="false">
      <c r="A19" s="11" t="s">
        <v>328</v>
      </c>
      <c r="B19" s="14" t="s">
        <v>329</v>
      </c>
      <c r="C19" s="7" t="s">
        <v>330</v>
      </c>
    </row>
    <row r="20" customFormat="false" ht="39.75" hidden="false" customHeight="true" outlineLevel="0" collapsed="false">
      <c r="A20" s="8" t="s">
        <v>331</v>
      </c>
      <c r="B20" s="34" t="str">
        <f aca="false">TRIM(B16&amp;" "&amp;B17&amp;" "&amp;B18&amp;" "&amp;B19)</f>
        <v>Pada laporan rekonsiliasi kemarin, dua angka belum direkonsiliasi, akibatnya review harus diulang. Untuk laporan berikutnya, lakukan checklist sebelum submit.</v>
      </c>
      <c r="C20" s="34"/>
    </row>
    <row r="21" customFormat="false" ht="15" hidden="false" customHeight="false" outlineLevel="0" collapsed="false">
      <c r="A21" s="11" t="s">
        <v>332</v>
      </c>
      <c r="B21" s="7" t="str">
        <f aca="false">IF(COUNTA(B16:B19)&lt;4,"Lengkapi 4 elemen","Lengkap — pastikan B adalah perilaku teramati, bukan sifat")</f>
        <v>Lengkap — pastikan B adalah perilaku teramati, bukan sifat</v>
      </c>
      <c r="C21" s="7"/>
    </row>
  </sheetData>
  <mergeCells count="2"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9" t="s">
        <v>28</v>
      </c>
      <c r="B1" s="2"/>
      <c r="C1" s="2"/>
      <c r="D1" s="2"/>
      <c r="E1" s="2"/>
    </row>
    <row r="2" customFormat="false" ht="15" hidden="false" customHeight="false" outlineLevel="0" collapsed="false">
      <c r="A2" s="10" t="s">
        <v>29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333</v>
      </c>
      <c r="B5" s="5" t="s">
        <v>334</v>
      </c>
      <c r="C5" s="5" t="s">
        <v>335</v>
      </c>
      <c r="D5" s="5" t="s">
        <v>336</v>
      </c>
      <c r="E5" s="5" t="s">
        <v>337</v>
      </c>
    </row>
    <row r="6" customFormat="false" ht="23.85" hidden="false" customHeight="false" outlineLevel="0" collapsed="false">
      <c r="A6" s="14" t="s">
        <v>338</v>
      </c>
      <c r="B6" s="14" t="s">
        <v>339</v>
      </c>
      <c r="C6" s="14" t="s">
        <v>340</v>
      </c>
      <c r="D6" s="14" t="s">
        <v>341</v>
      </c>
      <c r="E6" s="14" t="s">
        <v>342</v>
      </c>
    </row>
    <row r="7" customFormat="false" ht="15" hidden="false" customHeight="false" outlineLevel="0" collapsed="false">
      <c r="A7" s="14"/>
      <c r="B7" s="14"/>
      <c r="C7" s="14"/>
      <c r="D7" s="14"/>
      <c r="E7" s="14"/>
    </row>
    <row r="8" customFormat="false" ht="15" hidden="false" customHeight="false" outlineLevel="0" collapsed="false">
      <c r="A8" s="14"/>
      <c r="B8" s="14"/>
      <c r="C8" s="14"/>
      <c r="D8" s="14"/>
      <c r="E8" s="14"/>
    </row>
    <row r="9" customFormat="false" ht="15" hidden="false" customHeight="false" outlineLevel="0" collapsed="false">
      <c r="A9" s="14"/>
      <c r="B9" s="14"/>
      <c r="C9" s="14"/>
      <c r="D9" s="14"/>
      <c r="E9" s="14"/>
    </row>
    <row r="10" customFormat="false" ht="15" hidden="false" customHeight="false" outlineLevel="0" collapsed="false">
      <c r="A10" s="14"/>
      <c r="B10" s="14"/>
      <c r="C10" s="14"/>
      <c r="D10" s="14"/>
      <c r="E10" s="14"/>
    </row>
    <row r="11" customFormat="false" ht="15" hidden="false" customHeight="false" outlineLevel="0" collapsed="false">
      <c r="A11" s="14"/>
      <c r="B11" s="14"/>
      <c r="C11" s="14"/>
      <c r="D11" s="14"/>
      <c r="E11" s="14"/>
    </row>
    <row r="12" customFormat="false" ht="15" hidden="false" customHeight="false" outlineLevel="0" collapsed="false">
      <c r="A12" s="14"/>
      <c r="B12" s="14"/>
      <c r="C12" s="14"/>
      <c r="D12" s="14"/>
      <c r="E12" s="14"/>
    </row>
    <row r="13" customFormat="false" ht="15" hidden="false" customHeight="false" outlineLevel="0" collapsed="false">
      <c r="A13" s="14"/>
      <c r="B13" s="14"/>
      <c r="C13" s="14"/>
      <c r="D13" s="14"/>
      <c r="E13" s="14"/>
    </row>
    <row r="14" customFormat="false" ht="15" hidden="false" customHeight="false" outlineLevel="0" collapsed="false">
      <c r="A14" s="14"/>
      <c r="B14" s="14"/>
      <c r="C14" s="14"/>
      <c r="D14" s="14"/>
      <c r="E14" s="14"/>
    </row>
    <row r="15" customFormat="false" ht="15" hidden="false" customHeight="false" outlineLevel="0" collapsed="false">
      <c r="A15" s="14"/>
      <c r="B15" s="14"/>
      <c r="C15" s="14"/>
      <c r="D15" s="14"/>
      <c r="E15" s="14"/>
    </row>
    <row r="16" customFormat="false" ht="15" hidden="false" customHeight="false" outlineLevel="0" collapsed="false">
      <c r="A16" s="15" t="s">
        <v>343</v>
      </c>
      <c r="B16" s="35" t="n">
        <f aca="false">COUNTIF(B6:B15,"Assumption")+COUNTIF(B6:B15,"Opinion")+COUNTIF(B6:B15,"Unknown")</f>
        <v>1</v>
      </c>
    </row>
    <row r="18" customFormat="false" ht="15" hidden="false" customHeight="false" outlineLevel="0" collapsed="false">
      <c r="A18" s="17" t="s">
        <v>344</v>
      </c>
    </row>
    <row r="19" customFormat="false" ht="15" hidden="false" customHeight="true" outlineLevel="0" collapsed="false">
      <c r="A19" s="11" t="s">
        <v>345</v>
      </c>
      <c r="B19" s="7" t="s">
        <v>346</v>
      </c>
      <c r="C19" s="7"/>
    </row>
    <row r="20" customFormat="false" ht="15" hidden="false" customHeight="true" outlineLevel="0" collapsed="false">
      <c r="A20" s="11" t="s">
        <v>347</v>
      </c>
      <c r="B20" s="7" t="s">
        <v>348</v>
      </c>
      <c r="C20" s="7"/>
    </row>
    <row r="21" customFormat="false" ht="15" hidden="false" customHeight="true" outlineLevel="0" collapsed="false">
      <c r="A21" s="11" t="s">
        <v>349</v>
      </c>
      <c r="B21" s="7" t="s">
        <v>350</v>
      </c>
      <c r="C21" s="7"/>
    </row>
    <row r="22" customFormat="false" ht="15" hidden="false" customHeight="true" outlineLevel="0" collapsed="false">
      <c r="A22" s="11" t="s">
        <v>351</v>
      </c>
      <c r="B22" s="7" t="s">
        <v>352</v>
      </c>
      <c r="C22" s="7"/>
    </row>
    <row r="23" customFormat="false" ht="15" hidden="false" customHeight="true" outlineLevel="0" collapsed="false">
      <c r="A23" s="11" t="s">
        <v>353</v>
      </c>
      <c r="B23" s="7" t="s">
        <v>354</v>
      </c>
      <c r="C23" s="7"/>
    </row>
    <row r="24" customFormat="false" ht="15" hidden="false" customHeight="true" outlineLevel="0" collapsed="false">
      <c r="A24" s="11" t="s">
        <v>355</v>
      </c>
      <c r="B24" s="7" t="s">
        <v>356</v>
      </c>
      <c r="C24" s="7"/>
    </row>
    <row r="25" customFormat="false" ht="15" hidden="false" customHeight="true" outlineLevel="0" collapsed="false">
      <c r="A25" s="11" t="s">
        <v>357</v>
      </c>
      <c r="B25" s="7" t="s">
        <v>358</v>
      </c>
      <c r="C25" s="7"/>
    </row>
  </sheetData>
  <mergeCells count="7">
    <mergeCell ref="B19:C19"/>
    <mergeCell ref="B20:C20"/>
    <mergeCell ref="B21:C21"/>
    <mergeCell ref="B22:C22"/>
    <mergeCell ref="B23:C23"/>
    <mergeCell ref="B24:C24"/>
    <mergeCell ref="B25:C25"/>
  </mergeCells>
  <dataValidations count="1">
    <dataValidation allowBlank="true" errorStyle="stop" operator="between" showDropDown="false" showErrorMessage="false" showInputMessage="false" sqref="B6:B15" type="list">
      <formula1>"Fact,Assumption,Opinion,Interpretation,Conclusion,Unknown"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9" t="s">
        <v>31</v>
      </c>
      <c r="B1" s="2"/>
      <c r="C1" s="2"/>
      <c r="D1" s="2"/>
      <c r="E1" s="2"/>
    </row>
    <row r="2" customFormat="false" ht="15" hidden="false" customHeight="false" outlineLevel="0" collapsed="false">
      <c r="A2" s="10" t="s">
        <v>32</v>
      </c>
    </row>
    <row r="3" customFormat="false" ht="15" hidden="false" customHeight="false" outlineLevel="0" collapsed="false">
      <c r="A3" s="4" t="s">
        <v>86</v>
      </c>
    </row>
    <row r="5" customFormat="false" ht="15" hidden="false" customHeight="true" outlineLevel="0" collapsed="false">
      <c r="A5" s="11" t="s">
        <v>359</v>
      </c>
      <c r="B5" s="14" t="s">
        <v>360</v>
      </c>
      <c r="C5" s="14"/>
      <c r="D5" s="14"/>
      <c r="E5" s="14"/>
    </row>
    <row r="7" customFormat="false" ht="30" hidden="false" customHeight="true" outlineLevel="0" collapsed="false">
      <c r="A7" s="5" t="s">
        <v>361</v>
      </c>
      <c r="B7" s="5" t="s">
        <v>362</v>
      </c>
      <c r="C7" s="5" t="s">
        <v>363</v>
      </c>
      <c r="D7" s="5" t="s">
        <v>364</v>
      </c>
    </row>
    <row r="8" customFormat="false" ht="15" hidden="false" customHeight="false" outlineLevel="0" collapsed="false">
      <c r="A8" s="11" t="s">
        <v>365</v>
      </c>
      <c r="B8" s="14"/>
      <c r="C8" s="12"/>
      <c r="D8" s="14"/>
    </row>
    <row r="9" customFormat="false" ht="15" hidden="false" customHeight="false" outlineLevel="0" collapsed="false">
      <c r="A9" s="11" t="s">
        <v>366</v>
      </c>
      <c r="B9" s="14"/>
      <c r="C9" s="12"/>
      <c r="D9" s="14"/>
    </row>
    <row r="10" customFormat="false" ht="15" hidden="false" customHeight="false" outlineLevel="0" collapsed="false">
      <c r="A10" s="11" t="s">
        <v>367</v>
      </c>
      <c r="B10" s="14"/>
      <c r="C10" s="12"/>
      <c r="D10" s="14"/>
    </row>
    <row r="11" customFormat="false" ht="15" hidden="false" customHeight="false" outlineLevel="0" collapsed="false">
      <c r="A11" s="11" t="s">
        <v>368</v>
      </c>
      <c r="B11" s="14"/>
      <c r="C11" s="12"/>
      <c r="D11" s="14"/>
    </row>
    <row r="12" customFormat="false" ht="15" hidden="false" customHeight="false" outlineLevel="0" collapsed="false">
      <c r="A12" s="11" t="s">
        <v>369</v>
      </c>
      <c r="B12" s="14"/>
      <c r="C12" s="12"/>
      <c r="D12" s="14"/>
    </row>
    <row r="13" customFormat="false" ht="15" hidden="false" customHeight="false" outlineLevel="0" collapsed="false">
      <c r="A13" s="8" t="s">
        <v>370</v>
      </c>
      <c r="B13" s="34" t="str">
        <f aca="false">IFERROR(LOOKUP(2,1/(B8:B12&lt;&gt;""),B8:B12),"")</f>
        <v/>
      </c>
      <c r="C13" s="34"/>
      <c r="D13" s="34"/>
    </row>
    <row r="14" customFormat="false" ht="15" hidden="false" customHeight="false" outlineLevel="0" collapsed="false">
      <c r="A14" s="11" t="s">
        <v>371</v>
      </c>
      <c r="B14" s="7" t="str">
        <f aca="false">IF(B13="","",IF(COUNTIF(C8:C12,"N")&gt;0,"Ada jawaban tanpa evidence — verifikasi dulu","Didukung evidence"))</f>
        <v/>
      </c>
      <c r="C14" s="7"/>
      <c r="D14" s="7"/>
    </row>
    <row r="16" customFormat="false" ht="30" hidden="false" customHeight="true" outlineLevel="0" collapsed="false">
      <c r="A16" s="5" t="s">
        <v>372</v>
      </c>
      <c r="B16" s="5" t="s">
        <v>373</v>
      </c>
      <c r="C16" s="5" t="s">
        <v>363</v>
      </c>
      <c r="D16" s="5" t="s">
        <v>374</v>
      </c>
      <c r="E16" s="5" t="s">
        <v>375</v>
      </c>
    </row>
    <row r="17" customFormat="false" ht="15" hidden="false" customHeight="false" outlineLevel="0" collapsed="false">
      <c r="A17" s="11" t="s">
        <v>120</v>
      </c>
      <c r="B17" s="14"/>
      <c r="C17" s="12"/>
      <c r="D17" s="14"/>
      <c r="E17" s="7" t="str">
        <f aca="false">IF(AND(B17&lt;&gt;"",C17="Y"),"Ya — gali dengan 5 Whys","")</f>
        <v/>
      </c>
    </row>
    <row r="18" customFormat="false" ht="15" hidden="false" customHeight="false" outlineLevel="0" collapsed="false">
      <c r="A18" s="11"/>
      <c r="B18" s="14"/>
      <c r="C18" s="12"/>
      <c r="D18" s="14"/>
      <c r="E18" s="7" t="str">
        <f aca="false">IF(AND(B18&lt;&gt;"",C18="Y"),"Ya — gali dengan 5 Whys","")</f>
        <v/>
      </c>
    </row>
    <row r="19" customFormat="false" ht="15" hidden="false" customHeight="false" outlineLevel="0" collapsed="false">
      <c r="A19" s="11" t="s">
        <v>376</v>
      </c>
      <c r="B19" s="14"/>
      <c r="C19" s="12"/>
      <c r="D19" s="14"/>
      <c r="E19" s="7" t="str">
        <f aca="false">IF(AND(B19&lt;&gt;"",C19="Y"),"Ya — gali dengan 5 Whys","")</f>
        <v/>
      </c>
    </row>
    <row r="20" customFormat="false" ht="15" hidden="false" customHeight="false" outlineLevel="0" collapsed="false">
      <c r="A20" s="11"/>
      <c r="B20" s="14"/>
      <c r="C20" s="12"/>
      <c r="D20" s="14"/>
      <c r="E20" s="7" t="str">
        <f aca="false">IF(AND(B20&lt;&gt;"",C20="Y"),"Ya — gali dengan 5 Whys","")</f>
        <v/>
      </c>
    </row>
    <row r="21" customFormat="false" ht="15" hidden="false" customHeight="false" outlineLevel="0" collapsed="false">
      <c r="A21" s="11" t="s">
        <v>377</v>
      </c>
      <c r="B21" s="14"/>
      <c r="C21" s="12"/>
      <c r="D21" s="14"/>
      <c r="E21" s="7" t="str">
        <f aca="false">IF(AND(B21&lt;&gt;"",C21="Y"),"Ya — gali dengan 5 Whys","")</f>
        <v/>
      </c>
    </row>
    <row r="22" customFormat="false" ht="15" hidden="false" customHeight="false" outlineLevel="0" collapsed="false">
      <c r="A22" s="11"/>
      <c r="B22" s="14"/>
      <c r="C22" s="12"/>
      <c r="D22" s="14"/>
      <c r="E22" s="7" t="str">
        <f aca="false">IF(AND(B22&lt;&gt;"",C22="Y"),"Ya — gali dengan 5 Whys","")</f>
        <v/>
      </c>
    </row>
    <row r="23" customFormat="false" ht="15" hidden="false" customHeight="false" outlineLevel="0" collapsed="false">
      <c r="A23" s="11" t="s">
        <v>378</v>
      </c>
      <c r="B23" s="14"/>
      <c r="C23" s="12"/>
      <c r="D23" s="14"/>
      <c r="E23" s="7" t="str">
        <f aca="false">IF(AND(B23&lt;&gt;"",C23="Y"),"Ya — gali dengan 5 Whys","")</f>
        <v/>
      </c>
    </row>
    <row r="24" customFormat="false" ht="15" hidden="false" customHeight="false" outlineLevel="0" collapsed="false">
      <c r="A24" s="11"/>
      <c r="B24" s="14"/>
      <c r="C24" s="12"/>
      <c r="D24" s="14"/>
      <c r="E24" s="7" t="str">
        <f aca="false">IF(AND(B24&lt;&gt;"",C24="Y"),"Ya — gali dengan 5 Whys","")</f>
        <v/>
      </c>
    </row>
    <row r="25" customFormat="false" ht="15" hidden="false" customHeight="false" outlineLevel="0" collapsed="false">
      <c r="A25" s="11" t="s">
        <v>379</v>
      </c>
      <c r="B25" s="14"/>
      <c r="C25" s="12"/>
      <c r="D25" s="14"/>
      <c r="E25" s="7" t="str">
        <f aca="false">IF(AND(B25&lt;&gt;"",C25="Y"),"Ya — gali dengan 5 Whys","")</f>
        <v/>
      </c>
    </row>
    <row r="26" customFormat="false" ht="15" hidden="false" customHeight="false" outlineLevel="0" collapsed="false">
      <c r="A26" s="11"/>
      <c r="B26" s="14"/>
      <c r="C26" s="12"/>
      <c r="D26" s="14"/>
      <c r="E26" s="7" t="str">
        <f aca="false">IF(AND(B26&lt;&gt;"",C26="Y"),"Ya — gali dengan 5 Whys","")</f>
        <v/>
      </c>
    </row>
    <row r="27" customFormat="false" ht="15" hidden="false" customHeight="false" outlineLevel="0" collapsed="false">
      <c r="A27" s="11" t="s">
        <v>380</v>
      </c>
      <c r="B27" s="14"/>
      <c r="C27" s="12"/>
      <c r="D27" s="14"/>
      <c r="E27" s="7" t="str">
        <f aca="false">IF(AND(B27&lt;&gt;"",C27="Y"),"Ya — gali dengan 5 Whys","")</f>
        <v/>
      </c>
    </row>
    <row r="28" customFormat="false" ht="15" hidden="false" customHeight="false" outlineLevel="0" collapsed="false">
      <c r="A28" s="11"/>
      <c r="B28" s="14"/>
      <c r="C28" s="12"/>
      <c r="D28" s="14"/>
      <c r="E28" s="7" t="str">
        <f aca="false">IF(AND(B28&lt;&gt;"",C28="Y"),"Ya — gali dengan 5 Whys","")</f>
        <v/>
      </c>
    </row>
    <row r="31" customFormat="false" ht="30" hidden="false" customHeight="true" outlineLevel="0" collapsed="false">
      <c r="A31" s="5" t="s">
        <v>381</v>
      </c>
      <c r="B31" s="5" t="s">
        <v>382</v>
      </c>
      <c r="C31" s="5" t="s">
        <v>383</v>
      </c>
      <c r="D31" s="5" t="s">
        <v>384</v>
      </c>
      <c r="E31" s="5" t="s">
        <v>385</v>
      </c>
    </row>
    <row r="32" customFormat="false" ht="23.85" hidden="false" customHeight="false" outlineLevel="0" collapsed="false">
      <c r="A32" s="11" t="s">
        <v>386</v>
      </c>
      <c r="B32" s="11" t="s">
        <v>387</v>
      </c>
      <c r="C32" s="7" t="s">
        <v>388</v>
      </c>
      <c r="D32" s="7" t="s">
        <v>389</v>
      </c>
      <c r="E32" s="14"/>
    </row>
    <row r="33" customFormat="false" ht="15" hidden="false" customHeight="false" outlineLevel="0" collapsed="false">
      <c r="A33" s="11"/>
      <c r="B33" s="11"/>
      <c r="C33" s="7" t="s">
        <v>390</v>
      </c>
      <c r="D33" s="7" t="s">
        <v>391</v>
      </c>
      <c r="E33" s="14"/>
    </row>
    <row r="34" customFormat="false" ht="15" hidden="false" customHeight="false" outlineLevel="0" collapsed="false">
      <c r="A34" s="11"/>
      <c r="B34" s="11"/>
      <c r="C34" s="7" t="s">
        <v>392</v>
      </c>
      <c r="D34" s="7" t="s">
        <v>393</v>
      </c>
      <c r="E34" s="14"/>
    </row>
    <row r="35" customFormat="false" ht="15" hidden="false" customHeight="false" outlineLevel="0" collapsed="false">
      <c r="A35" s="11"/>
      <c r="B35" s="11" t="s">
        <v>394</v>
      </c>
      <c r="C35" s="7" t="s">
        <v>395</v>
      </c>
      <c r="D35" s="7" t="s">
        <v>396</v>
      </c>
      <c r="E35" s="14"/>
    </row>
    <row r="36" customFormat="false" ht="15" hidden="false" customHeight="false" outlineLevel="0" collapsed="false">
      <c r="A36" s="11"/>
      <c r="B36" s="11"/>
      <c r="C36" s="7" t="s">
        <v>397</v>
      </c>
      <c r="D36" s="7" t="s">
        <v>398</v>
      </c>
      <c r="E36" s="14"/>
    </row>
    <row r="37" customFormat="false" ht="23.85" hidden="false" customHeight="false" outlineLevel="0" collapsed="false">
      <c r="A37" s="11"/>
      <c r="B37" s="11" t="s">
        <v>399</v>
      </c>
      <c r="C37" s="7" t="s">
        <v>400</v>
      </c>
      <c r="D37" s="7" t="s">
        <v>401</v>
      </c>
      <c r="E37" s="14"/>
    </row>
    <row r="38" customFormat="false" ht="15" hidden="false" customHeight="false" outlineLevel="0" collapsed="false">
      <c r="A38" s="11"/>
      <c r="B38" s="11"/>
      <c r="C38" s="7" t="s">
        <v>402</v>
      </c>
      <c r="D38" s="7" t="s">
        <v>403</v>
      </c>
      <c r="E38" s="14"/>
    </row>
  </sheetData>
  <mergeCells count="3">
    <mergeCell ref="B5:E5"/>
    <mergeCell ref="B13:D13"/>
    <mergeCell ref="B14:D14"/>
  </mergeCells>
  <dataValidations count="3">
    <dataValidation allowBlank="true" errorStyle="stop" operator="between" showDropDown="false" showErrorMessage="false" showInputMessage="false" sqref="C8:C12" type="list">
      <formula1>"Y,N"</formula1>
      <formula2>0</formula2>
    </dataValidation>
    <dataValidation allowBlank="true" errorStyle="stop" operator="between" showDropDown="false" showErrorMessage="false" showInputMessage="false" sqref="C17:C28" type="list">
      <formula1>"Y,N"</formula1>
      <formula2>0</formula2>
    </dataValidation>
    <dataValidation allowBlank="true" errorStyle="stop" operator="between" showDropDown="false" showErrorMessage="false" showInputMessage="false" sqref="E32:E38" type="list">
      <formula1>"Terbukti,Belum diuji,Dipangkas"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44"/>
  </cols>
  <sheetData>
    <row r="1" customFormat="false" ht="27.75" hidden="false" customHeight="true" outlineLevel="0" collapsed="false">
      <c r="A1" s="9" t="s">
        <v>34</v>
      </c>
      <c r="B1" s="2"/>
      <c r="C1" s="2"/>
      <c r="D1" s="2"/>
    </row>
    <row r="2" customFormat="false" ht="15" hidden="false" customHeight="false" outlineLevel="0" collapsed="false">
      <c r="A2" s="10" t="s">
        <v>35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404</v>
      </c>
      <c r="B5" s="5" t="s">
        <v>405</v>
      </c>
      <c r="C5" s="5" t="s">
        <v>406</v>
      </c>
      <c r="D5" s="5" t="s">
        <v>407</v>
      </c>
    </row>
    <row r="6" customFormat="false" ht="15" hidden="false" customHeight="false" outlineLevel="0" collapsed="false">
      <c r="A6" s="11" t="s">
        <v>408</v>
      </c>
      <c r="B6" s="7" t="s">
        <v>409</v>
      </c>
      <c r="C6" s="12"/>
      <c r="D6" s="14"/>
    </row>
    <row r="7" customFormat="false" ht="15" hidden="false" customHeight="false" outlineLevel="0" collapsed="false">
      <c r="A7" s="11" t="s">
        <v>410</v>
      </c>
      <c r="B7" s="7" t="s">
        <v>411</v>
      </c>
      <c r="C7" s="12"/>
      <c r="D7" s="14"/>
    </row>
    <row r="8" customFormat="false" ht="15" hidden="false" customHeight="false" outlineLevel="0" collapsed="false">
      <c r="A8" s="11" t="s">
        <v>412</v>
      </c>
      <c r="B8" s="7" t="s">
        <v>413</v>
      </c>
      <c r="C8" s="12"/>
      <c r="D8" s="14"/>
    </row>
    <row r="9" customFormat="false" ht="15" hidden="false" customHeight="false" outlineLevel="0" collapsed="false">
      <c r="A9" s="11" t="s">
        <v>414</v>
      </c>
      <c r="B9" s="7" t="s">
        <v>415</v>
      </c>
      <c r="C9" s="12"/>
      <c r="D9" s="14"/>
    </row>
    <row r="10" customFormat="false" ht="15" hidden="false" customHeight="false" outlineLevel="0" collapsed="false">
      <c r="A10" s="11" t="s">
        <v>416</v>
      </c>
      <c r="B10" s="7" t="s">
        <v>417</v>
      </c>
      <c r="C10" s="12"/>
      <c r="D10" s="14"/>
    </row>
    <row r="11" customFormat="false" ht="15" hidden="false" customHeight="false" outlineLevel="0" collapsed="false">
      <c r="A11" s="11" t="s">
        <v>418</v>
      </c>
      <c r="B11" s="7" t="s">
        <v>419</v>
      </c>
      <c r="C11" s="12"/>
      <c r="D11" s="14"/>
    </row>
    <row r="12" customFormat="false" ht="15" hidden="false" customHeight="false" outlineLevel="0" collapsed="false">
      <c r="A12" s="11" t="s">
        <v>420</v>
      </c>
      <c r="B12" s="7" t="s">
        <v>421</v>
      </c>
      <c r="C12" s="12"/>
      <c r="D12" s="14"/>
    </row>
    <row r="13" customFormat="false" ht="15" hidden="false" customHeight="false" outlineLevel="0" collapsed="false">
      <c r="A13" s="11" t="s">
        <v>422</v>
      </c>
      <c r="B13" s="7" t="s">
        <v>423</v>
      </c>
      <c r="C13" s="12"/>
      <c r="D13" s="14"/>
    </row>
    <row r="14" customFormat="false" ht="15" hidden="false" customHeight="false" outlineLevel="0" collapsed="false">
      <c r="A14" s="11" t="s">
        <v>424</v>
      </c>
      <c r="B14" s="7" t="s">
        <v>425</v>
      </c>
      <c r="C14" s="12"/>
      <c r="D14" s="14"/>
    </row>
    <row r="15" customFormat="false" ht="15" hidden="false" customHeight="false" outlineLevel="0" collapsed="false">
      <c r="A15" s="11" t="s">
        <v>426</v>
      </c>
      <c r="B15" s="7" t="s">
        <v>427</v>
      </c>
      <c r="C15" s="12"/>
      <c r="D15" s="14"/>
    </row>
    <row r="16" customFormat="false" ht="23.85" hidden="false" customHeight="false" outlineLevel="0" collapsed="false">
      <c r="A16" s="15" t="s">
        <v>428</v>
      </c>
      <c r="C16" s="35" t="n">
        <f aca="false">COUNTIF(C6:C15,"Y")</f>
        <v>0</v>
      </c>
    </row>
    <row r="17" customFormat="false" ht="15" hidden="false" customHeight="false" outlineLevel="0" collapsed="false">
      <c r="A17" s="8" t="s">
        <v>429</v>
      </c>
      <c r="B17" s="34" t="str">
        <f aca="false">IF(C16&gt;=3,"Tunda keputusan: tunjuk devil's advocate &amp; cari evidence tambahan",IF(C16&gt;=1,"Lanjut dengan mitigasi tertulis","Lanjut"))</f>
        <v>Lanjut</v>
      </c>
      <c r="C17" s="34"/>
      <c r="D17" s="34"/>
    </row>
  </sheetData>
  <mergeCells count="1">
    <mergeCell ref="B17:D17"/>
  </mergeCells>
  <dataValidations count="1">
    <dataValidation allowBlank="true" errorStyle="stop" operator="between" showDropDown="false" showErrorMessage="false" showInputMessage="false" sqref="C6:C1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6" min="3" style="0" width="14"/>
  </cols>
  <sheetData>
    <row r="1" customFormat="false" ht="27.75" hidden="false" customHeight="true" outlineLevel="0" collapsed="false">
      <c r="A1" s="9" t="s">
        <v>37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0" t="s">
        <v>38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430</v>
      </c>
      <c r="B5" s="5" t="s">
        <v>431</v>
      </c>
      <c r="C5" s="5" t="s">
        <v>432</v>
      </c>
      <c r="D5" s="5" t="s">
        <v>433</v>
      </c>
      <c r="E5" s="5" t="s">
        <v>434</v>
      </c>
      <c r="F5" s="5" t="s">
        <v>435</v>
      </c>
    </row>
    <row r="6" customFormat="false" ht="23.85" hidden="false" customHeight="false" outlineLevel="0" collapsed="false">
      <c r="A6" s="15" t="s">
        <v>436</v>
      </c>
      <c r="B6" s="23"/>
      <c r="C6" s="12" t="s">
        <v>437</v>
      </c>
      <c r="D6" s="12" t="s">
        <v>438</v>
      </c>
      <c r="E6" s="12" t="s">
        <v>439</v>
      </c>
      <c r="F6" s="12"/>
    </row>
    <row r="7" customFormat="false" ht="15" hidden="false" customHeight="false" outlineLevel="0" collapsed="false">
      <c r="A7" s="11" t="s">
        <v>440</v>
      </c>
      <c r="B7" s="24" t="n">
        <v>0.15</v>
      </c>
      <c r="C7" s="12" t="n">
        <v>4</v>
      </c>
      <c r="D7" s="12" t="n">
        <v>3</v>
      </c>
      <c r="E7" s="12" t="n">
        <v>5</v>
      </c>
      <c r="F7" s="12"/>
    </row>
    <row r="8" customFormat="false" ht="15" hidden="false" customHeight="false" outlineLevel="0" collapsed="false">
      <c r="A8" s="11" t="s">
        <v>441</v>
      </c>
      <c r="B8" s="24" t="n">
        <v>0.15</v>
      </c>
      <c r="C8" s="12" t="n">
        <v>4</v>
      </c>
      <c r="D8" s="12" t="n">
        <v>3</v>
      </c>
      <c r="E8" s="12" t="n">
        <v>4</v>
      </c>
      <c r="F8" s="12"/>
    </row>
    <row r="9" customFormat="false" ht="15" hidden="false" customHeight="false" outlineLevel="0" collapsed="false">
      <c r="A9" s="11" t="s">
        <v>119</v>
      </c>
      <c r="B9" s="24" t="n">
        <v>0.15</v>
      </c>
      <c r="C9" s="12" t="n">
        <v>4</v>
      </c>
      <c r="D9" s="12" t="n">
        <v>4</v>
      </c>
      <c r="E9" s="12" t="n">
        <v>2</v>
      </c>
      <c r="F9" s="12"/>
    </row>
    <row r="10" customFormat="false" ht="15" hidden="false" customHeight="false" outlineLevel="0" collapsed="false">
      <c r="A10" s="11" t="s">
        <v>166</v>
      </c>
      <c r="B10" s="24" t="n">
        <v>0.15</v>
      </c>
      <c r="C10" s="12" t="n">
        <v>4</v>
      </c>
      <c r="D10" s="12" t="n">
        <v>4</v>
      </c>
      <c r="E10" s="12" t="n">
        <v>3</v>
      </c>
      <c r="F10" s="12"/>
    </row>
    <row r="11" customFormat="false" ht="15" hidden="false" customHeight="false" outlineLevel="0" collapsed="false">
      <c r="A11" s="11" t="s">
        <v>442</v>
      </c>
      <c r="B11" s="24" t="n">
        <v>0.1</v>
      </c>
      <c r="C11" s="12" t="n">
        <v>3</v>
      </c>
      <c r="D11" s="12" t="n">
        <v>2</v>
      </c>
      <c r="E11" s="12" t="n">
        <v>4</v>
      </c>
      <c r="F11" s="12"/>
    </row>
    <row r="12" customFormat="false" ht="15" hidden="false" customHeight="false" outlineLevel="0" collapsed="false">
      <c r="A12" s="11" t="s">
        <v>443</v>
      </c>
      <c r="B12" s="24" t="n">
        <v>0.1</v>
      </c>
      <c r="C12" s="12" t="n">
        <v>3</v>
      </c>
      <c r="D12" s="12" t="n">
        <v>4</v>
      </c>
      <c r="E12" s="12" t="n">
        <v>2</v>
      </c>
      <c r="F12" s="12"/>
    </row>
    <row r="13" customFormat="false" ht="15" hidden="false" customHeight="false" outlineLevel="0" collapsed="false">
      <c r="A13" s="11" t="s">
        <v>444</v>
      </c>
      <c r="B13" s="24" t="n">
        <v>0.05</v>
      </c>
      <c r="C13" s="12" t="n">
        <v>4</v>
      </c>
      <c r="D13" s="12" t="n">
        <v>2</v>
      </c>
      <c r="E13" s="12" t="n">
        <v>2</v>
      </c>
      <c r="F13" s="12"/>
    </row>
    <row r="14" customFormat="false" ht="15" hidden="false" customHeight="false" outlineLevel="0" collapsed="false">
      <c r="A14" s="11" t="s">
        <v>165</v>
      </c>
      <c r="B14" s="24" t="n">
        <v>0.1</v>
      </c>
      <c r="C14" s="12" t="n">
        <v>4</v>
      </c>
      <c r="D14" s="12" t="n">
        <v>3</v>
      </c>
      <c r="E14" s="12" t="n">
        <v>2</v>
      </c>
      <c r="F14" s="12"/>
    </row>
    <row r="15" customFormat="false" ht="15" hidden="false" customHeight="false" outlineLevel="0" collapsed="false">
      <c r="A15" s="11" t="s">
        <v>445</v>
      </c>
      <c r="B15" s="24" t="n">
        <v>0.05</v>
      </c>
      <c r="C15" s="12" t="n">
        <v>4</v>
      </c>
      <c r="D15" s="12" t="n">
        <v>3</v>
      </c>
      <c r="E15" s="12" t="n">
        <v>1</v>
      </c>
      <c r="F15" s="12"/>
    </row>
    <row r="16" customFormat="false" ht="15" hidden="false" customHeight="false" outlineLevel="0" collapsed="false">
      <c r="A16" s="15" t="s">
        <v>446</v>
      </c>
      <c r="B16" s="36" t="n">
        <f aca="false">SUM(B7:B15)</f>
        <v>1</v>
      </c>
    </row>
    <row r="17" customFormat="false" ht="15" hidden="false" customHeight="false" outlineLevel="0" collapsed="false">
      <c r="A17" s="8" t="s">
        <v>447</v>
      </c>
      <c r="B17" s="34"/>
      <c r="C17" s="37" t="n">
        <f aca="false">IF(OR(C6="",COUNT(C7:C15)&lt;9),"",SUMPRODUCT(C7:C15,$B$7:$B$15)/$B$16)</f>
        <v>3.8</v>
      </c>
      <c r="D17" s="37" t="n">
        <f aca="false">IF(OR(D6="",COUNT(D7:D15)&lt;9),"",SUMPRODUCT(D7:D15,$B$7:$B$15)/$B$16)</f>
        <v>3.25</v>
      </c>
      <c r="E17" s="37" t="n">
        <f aca="false">IF(OR(E6="",COUNT(E7:E15)&lt;9),"",SUMPRODUCT(E7:E15,$B$7:$B$15)/$B$16)</f>
        <v>3.05</v>
      </c>
      <c r="F17" s="37" t="str">
        <f aca="false">IF(OR(F6="",COUNT(F7:F15)&lt;9),"",SUMPRODUCT(F7:F15,$B$7:$B$15)/$B$16)</f>
        <v/>
      </c>
    </row>
    <row r="18" customFormat="false" ht="15" hidden="false" customHeight="false" outlineLevel="0" collapsed="false">
      <c r="A18" s="11" t="s">
        <v>448</v>
      </c>
      <c r="C18" s="13" t="n">
        <f aca="false">IF(C17="","",RANK(C17,$C$17:$F$17))</f>
        <v>1</v>
      </c>
      <c r="D18" s="13" t="n">
        <f aca="false">IF(D17="","",RANK(D17,$C$17:$F$17))</f>
        <v>2</v>
      </c>
      <c r="E18" s="13" t="n">
        <f aca="false">IF(E17="","",RANK(E17,$C$17:$F$17))</f>
        <v>3</v>
      </c>
      <c r="F18" s="13" t="str">
        <f aca="false">IF(F17="","",RANK(F17,$C$17:$F$17))</f>
        <v/>
      </c>
    </row>
    <row r="19" customFormat="false" ht="23.85" hidden="false" customHeight="false" outlineLevel="0" collapsed="false">
      <c r="A19" s="11" t="s">
        <v>449</v>
      </c>
      <c r="C19" s="7" t="str">
        <f aca="false">IF(C15="","",IF(C15&lt;=2,"Hard-to-reverse: pre-mortem","Reversible"))</f>
        <v>Reversible</v>
      </c>
      <c r="D19" s="7" t="str">
        <f aca="false">IF(D15="","",IF(D15&lt;=2,"Hard-to-reverse: pre-mortem","Reversible"))</f>
        <v>Reversible</v>
      </c>
      <c r="E19" s="7" t="str">
        <f aca="false">IF(E15="","",IF(E15&lt;=2,"Hard-to-reverse: pre-mortem","Reversible"))</f>
        <v>Hard-to-reverse: pre-mortem</v>
      </c>
      <c r="F19" s="7" t="str">
        <f aca="false">IF(F15="","",IF(F15&lt;=2,"Hard-to-reverse: pre-mortem","Reversible"))</f>
        <v/>
      </c>
    </row>
    <row r="21" customFormat="false" ht="15" hidden="false" customHeight="false" outlineLevel="0" collapsed="false">
      <c r="A21" s="15" t="s">
        <v>450</v>
      </c>
      <c r="B21" s="15" t="str">
        <f aca="false">IFERROR(INDEX(C6:F6,MATCH(MAX(C17:F17),C17:F17,0)),"")</f>
        <v>Process redesign</v>
      </c>
      <c r="C21" s="15"/>
      <c r="D21" s="15"/>
    </row>
    <row r="22" customFormat="false" ht="15" hidden="false" customHeight="false" outlineLevel="0" collapsed="false">
      <c r="A22" s="22" t="s">
        <v>451</v>
      </c>
    </row>
  </sheetData>
  <mergeCells count="1">
    <mergeCell ref="B21:D21"/>
  </mergeCells>
  <dataValidations count="1">
    <dataValidation allowBlank="true" error="Isi angka 1–5" errorStyle="stop" operator="between" showDropDown="false" showErrorMessage="true" showInputMessage="false" sqref="C7:F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9" t="s">
        <v>40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0" t="s">
        <v>41</v>
      </c>
    </row>
    <row r="3" customFormat="false" ht="15" hidden="false" customHeight="false" outlineLevel="0" collapsed="false">
      <c r="A3" s="4" t="s">
        <v>86</v>
      </c>
    </row>
    <row r="5" customFormat="false" ht="15" hidden="false" customHeight="false" outlineLevel="0" collapsed="false">
      <c r="A5" s="11" t="s">
        <v>452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30" hidden="false" customHeight="true" outlineLevel="0" collapsed="false">
      <c r="A6" s="5" t="s">
        <v>453</v>
      </c>
      <c r="B6" s="5" t="s">
        <v>454</v>
      </c>
      <c r="C6" s="5" t="s">
        <v>455</v>
      </c>
      <c r="D6" s="5" t="s">
        <v>456</v>
      </c>
      <c r="E6" s="5" t="s">
        <v>457</v>
      </c>
      <c r="F6" s="5" t="s">
        <v>458</v>
      </c>
      <c r="G6" s="5" t="s">
        <v>459</v>
      </c>
      <c r="H6" s="5" t="s">
        <v>460</v>
      </c>
      <c r="I6" s="5" t="s">
        <v>461</v>
      </c>
      <c r="J6" s="5" t="s">
        <v>462</v>
      </c>
    </row>
    <row r="7" customFormat="false" ht="23.85" hidden="false" customHeight="false" outlineLevel="0" collapsed="false">
      <c r="A7" s="14" t="s">
        <v>463</v>
      </c>
      <c r="B7" s="14" t="s">
        <v>464</v>
      </c>
      <c r="C7" s="14" t="s">
        <v>465</v>
      </c>
      <c r="D7" s="14" t="s">
        <v>466</v>
      </c>
      <c r="E7" s="14" t="s">
        <v>467</v>
      </c>
      <c r="F7" s="30"/>
      <c r="G7" s="12" t="n">
        <v>4</v>
      </c>
      <c r="H7" s="12" t="n">
        <v>4</v>
      </c>
      <c r="I7" s="13" t="n">
        <f aca="false">IF(OR(G7="",H7=""),"",G7*H7)</f>
        <v>16</v>
      </c>
      <c r="J7" s="27" t="str">
        <f aca="false">IF(I7="","",IF(I7&gt;=15,"High",IF(I7&gt;=8,"Medium","Low")))</f>
        <v>High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30"/>
      <c r="G8" s="12"/>
      <c r="H8" s="12"/>
      <c r="I8" s="13" t="str">
        <f aca="false">IF(OR(G8="",H8=""),"",G8*H8)</f>
        <v/>
      </c>
      <c r="J8" s="27" t="str">
        <f aca="false">IF(I8="","",IF(I8&gt;=15,"High",IF(I8&gt;=8,"Medium","Low")))</f>
        <v/>
      </c>
    </row>
    <row r="9" customFormat="false" ht="15" hidden="false" customHeight="false" outlineLevel="0" collapsed="false">
      <c r="A9" s="14"/>
      <c r="B9" s="14"/>
      <c r="C9" s="14"/>
      <c r="D9" s="14"/>
      <c r="E9" s="14"/>
      <c r="F9" s="30"/>
      <c r="G9" s="12"/>
      <c r="H9" s="12"/>
      <c r="I9" s="13" t="str">
        <f aca="false">IF(OR(G9="",H9=""),"",G9*H9)</f>
        <v/>
      </c>
      <c r="J9" s="27" t="str">
        <f aca="false">IF(I9="","",IF(I9&gt;=15,"High",IF(I9&gt;=8,"Medium","Low")))</f>
        <v/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30"/>
      <c r="G10" s="12"/>
      <c r="H10" s="12"/>
      <c r="I10" s="13" t="str">
        <f aca="false">IF(OR(G10="",H10=""),"",G10*H10)</f>
        <v/>
      </c>
      <c r="J10" s="27" t="str">
        <f aca="false">IF(I10="","",IF(I10&gt;=15,"High",IF(I10&gt;=8,"Medium","Low")))</f>
        <v/>
      </c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30"/>
      <c r="G11" s="12"/>
      <c r="H11" s="12"/>
      <c r="I11" s="13" t="str">
        <f aca="false">IF(OR(G11="",H11=""),"",G11*H11)</f>
        <v/>
      </c>
      <c r="J11" s="27" t="str">
        <f aca="false">IF(I11="","",IF(I11&gt;=15,"High",IF(I11&gt;=8,"Medium","Low")))</f>
        <v/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30"/>
      <c r="G12" s="12"/>
      <c r="H12" s="12"/>
      <c r="I12" s="13" t="str">
        <f aca="false">IF(OR(G12="",H12=""),"",G12*H12)</f>
        <v/>
      </c>
      <c r="J12" s="27" t="str">
        <f aca="false">IF(I12="","",IF(I12&gt;=15,"High",IF(I12&gt;=8,"Medium","Low")))</f>
        <v/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30"/>
      <c r="G13" s="12"/>
      <c r="H13" s="12"/>
      <c r="I13" s="13" t="str">
        <f aca="false">IF(OR(G13="",H13=""),"",G13*H13)</f>
        <v/>
      </c>
      <c r="J13" s="27" t="str">
        <f aca="false">IF(I13="","",IF(I13&gt;=15,"High",IF(I13&gt;=8,"Medium","Low")))</f>
        <v/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30"/>
      <c r="G14" s="12"/>
      <c r="H14" s="12"/>
      <c r="I14" s="13" t="str">
        <f aca="false">IF(OR(G14="",H14=""),"",G14*H14)</f>
        <v/>
      </c>
      <c r="J14" s="27" t="str">
        <f aca="false">IF(I14="","",IF(I14&gt;=15,"High",IF(I14&gt;=8,"Medium","Low")))</f>
        <v/>
      </c>
    </row>
  </sheetData>
  <mergeCells count="1">
    <mergeCell ref="B5:J5"/>
  </mergeCells>
  <conditionalFormatting sqref="J7:J14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1">
    <dataValidation allowBlank="true" error="Isi angka 1–5" errorStyle="stop" operator="between" showDropDown="false" showErrorMessage="true" showInputMessage="false" sqref="G7:H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3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28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9" t="s">
        <v>43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0" t="s">
        <v>44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221</v>
      </c>
      <c r="B5" s="5" t="s">
        <v>245</v>
      </c>
      <c r="C5" s="5" t="s">
        <v>468</v>
      </c>
      <c r="D5" s="5" t="s">
        <v>469</v>
      </c>
      <c r="E5" s="5" t="s">
        <v>470</v>
      </c>
      <c r="F5" s="5" t="s">
        <v>471</v>
      </c>
      <c r="G5" s="5" t="s">
        <v>472</v>
      </c>
      <c r="H5" s="5" t="s">
        <v>473</v>
      </c>
      <c r="I5" s="5" t="s">
        <v>474</v>
      </c>
    </row>
    <row r="6" customFormat="false" ht="15" hidden="false" customHeight="false" outlineLevel="0" collapsed="false">
      <c r="A6" s="30"/>
      <c r="B6" s="14"/>
      <c r="C6" s="14"/>
      <c r="D6" s="14"/>
      <c r="E6" s="14"/>
      <c r="F6" s="14"/>
      <c r="G6" s="30"/>
      <c r="H6" s="14"/>
      <c r="I6" s="14"/>
    </row>
    <row r="7" customFormat="false" ht="15" hidden="false" customHeight="false" outlineLevel="0" collapsed="false">
      <c r="A7" s="30"/>
      <c r="B7" s="14"/>
      <c r="C7" s="14"/>
      <c r="D7" s="14"/>
      <c r="E7" s="14"/>
      <c r="F7" s="14"/>
      <c r="G7" s="30"/>
      <c r="H7" s="14"/>
      <c r="I7" s="14"/>
    </row>
    <row r="8" customFormat="false" ht="15" hidden="false" customHeight="false" outlineLevel="0" collapsed="false">
      <c r="A8" s="30"/>
      <c r="B8" s="14"/>
      <c r="C8" s="14"/>
      <c r="D8" s="14"/>
      <c r="E8" s="14"/>
      <c r="F8" s="14"/>
      <c r="G8" s="30"/>
      <c r="H8" s="14"/>
      <c r="I8" s="14"/>
    </row>
    <row r="9" customFormat="false" ht="15" hidden="false" customHeight="false" outlineLevel="0" collapsed="false">
      <c r="A9" s="30"/>
      <c r="B9" s="14"/>
      <c r="C9" s="14"/>
      <c r="D9" s="14"/>
      <c r="E9" s="14"/>
      <c r="F9" s="14"/>
      <c r="G9" s="30"/>
      <c r="H9" s="14"/>
      <c r="I9" s="14"/>
    </row>
    <row r="10" customFormat="false" ht="15" hidden="false" customHeight="false" outlineLevel="0" collapsed="false">
      <c r="A10" s="30"/>
      <c r="B10" s="14"/>
      <c r="C10" s="14"/>
      <c r="D10" s="14"/>
      <c r="E10" s="14"/>
      <c r="F10" s="14"/>
      <c r="G10" s="30"/>
      <c r="H10" s="14"/>
      <c r="I10" s="14"/>
    </row>
    <row r="11" customFormat="false" ht="15" hidden="false" customHeight="false" outlineLevel="0" collapsed="false">
      <c r="A11" s="30"/>
      <c r="B11" s="14"/>
      <c r="C11" s="14"/>
      <c r="D11" s="14"/>
      <c r="E11" s="14"/>
      <c r="F11" s="14"/>
      <c r="G11" s="30"/>
      <c r="H11" s="14"/>
      <c r="I11" s="14"/>
    </row>
    <row r="12" customFormat="false" ht="15" hidden="false" customHeight="false" outlineLevel="0" collapsed="false">
      <c r="A12" s="30"/>
      <c r="B12" s="14"/>
      <c r="C12" s="14"/>
      <c r="D12" s="14"/>
      <c r="E12" s="14"/>
      <c r="F12" s="14"/>
      <c r="G12" s="30"/>
      <c r="H12" s="14"/>
      <c r="I12" s="14"/>
    </row>
    <row r="13" customFormat="false" ht="15" hidden="false" customHeight="false" outlineLevel="0" collapsed="false">
      <c r="A13" s="30"/>
      <c r="B13" s="14"/>
      <c r="C13" s="14"/>
      <c r="D13" s="14"/>
      <c r="E13" s="14"/>
      <c r="F13" s="14"/>
      <c r="G13" s="30"/>
      <c r="H13" s="14"/>
      <c r="I13" s="14"/>
    </row>
    <row r="14" customFormat="false" ht="15" hidden="false" customHeight="false" outlineLevel="0" collapsed="false">
      <c r="A14" s="30"/>
      <c r="B14" s="14"/>
      <c r="C14" s="14"/>
      <c r="D14" s="14"/>
      <c r="E14" s="14"/>
      <c r="F14" s="14"/>
      <c r="G14" s="30"/>
      <c r="H14" s="14"/>
      <c r="I14" s="14"/>
    </row>
    <row r="15" customFormat="false" ht="15" hidden="false" customHeight="false" outlineLevel="0" collapsed="false">
      <c r="A15" s="30"/>
      <c r="B15" s="14"/>
      <c r="C15" s="14"/>
      <c r="D15" s="14"/>
      <c r="E15" s="14"/>
      <c r="F15" s="14"/>
      <c r="G15" s="30"/>
      <c r="H15" s="14"/>
      <c r="I15" s="14"/>
    </row>
    <row r="16" customFormat="false" ht="15" hidden="false" customHeight="false" outlineLevel="0" collapsed="false">
      <c r="A16" s="30"/>
      <c r="B16" s="14"/>
      <c r="C16" s="14"/>
      <c r="D16" s="14"/>
      <c r="E16" s="14"/>
      <c r="F16" s="14"/>
      <c r="G16" s="30"/>
      <c r="H16" s="14"/>
      <c r="I16" s="14"/>
    </row>
    <row r="17" customFormat="false" ht="15" hidden="false" customHeight="false" outlineLevel="0" collapsed="false">
      <c r="A17" s="30"/>
      <c r="B17" s="14"/>
      <c r="C17" s="14"/>
      <c r="D17" s="14"/>
      <c r="E17" s="14"/>
      <c r="F17" s="14"/>
      <c r="G17" s="30"/>
      <c r="H17" s="14"/>
      <c r="I17" s="14"/>
    </row>
    <row r="18" customFormat="false" ht="15" hidden="false" customHeight="false" outlineLevel="0" collapsed="false">
      <c r="A18" s="30"/>
      <c r="B18" s="14"/>
      <c r="C18" s="14"/>
      <c r="D18" s="14"/>
      <c r="E18" s="14"/>
      <c r="F18" s="14"/>
      <c r="G18" s="30"/>
      <c r="H18" s="14"/>
      <c r="I18" s="14"/>
    </row>
    <row r="19" customFormat="false" ht="15" hidden="false" customHeight="false" outlineLevel="0" collapsed="false">
      <c r="A19" s="30"/>
      <c r="B19" s="14"/>
      <c r="C19" s="14"/>
      <c r="D19" s="14"/>
      <c r="E19" s="14"/>
      <c r="F19" s="14"/>
      <c r="G19" s="30"/>
      <c r="H19" s="14"/>
      <c r="I19" s="14"/>
    </row>
    <row r="20" customFormat="false" ht="15" hidden="false" customHeight="false" outlineLevel="0" collapsed="false">
      <c r="A20" s="30"/>
      <c r="B20" s="14"/>
      <c r="C20" s="14"/>
      <c r="D20" s="14"/>
      <c r="E20" s="14"/>
      <c r="F20" s="14"/>
      <c r="G20" s="30"/>
      <c r="H20" s="14"/>
      <c r="I20" s="14"/>
    </row>
  </sheetData>
  <dataValidations count="1">
    <dataValidation allowBlank="true" errorStyle="stop" operator="between" showDropDown="false" showErrorMessage="false" showInputMessage="false" sqref="F6:F20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9" t="s">
        <v>46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0" t="s">
        <v>47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232</v>
      </c>
      <c r="B5" s="5" t="s">
        <v>475</v>
      </c>
      <c r="C5" s="5" t="s">
        <v>457</v>
      </c>
      <c r="D5" s="5" t="s">
        <v>476</v>
      </c>
      <c r="E5" s="5" t="s">
        <v>477</v>
      </c>
      <c r="F5" s="5" t="s">
        <v>478</v>
      </c>
      <c r="G5" s="5" t="s">
        <v>91</v>
      </c>
      <c r="H5" s="5" t="s">
        <v>479</v>
      </c>
      <c r="I5" s="5" t="s">
        <v>480</v>
      </c>
    </row>
    <row r="6" customFormat="false" ht="15" hidden="false" customHeight="false" outlineLevel="0" collapsed="false">
      <c r="A6" s="13" t="n">
        <v>1</v>
      </c>
      <c r="B6" s="14" t="s">
        <v>481</v>
      </c>
      <c r="C6" s="14" t="s">
        <v>467</v>
      </c>
      <c r="D6" s="30"/>
      <c r="E6" s="14" t="s">
        <v>482</v>
      </c>
      <c r="F6" s="14" t="s">
        <v>483</v>
      </c>
      <c r="G6" s="14" t="s">
        <v>484</v>
      </c>
      <c r="H6" s="38" t="str">
        <f aca="false">IF(B6="","",IF(AND(C6&lt;&gt;"",D6&lt;&gt;"",E6&lt;&gt;""),"Valid","Tidak valid"))</f>
        <v>Tidak valid</v>
      </c>
      <c r="I6" s="27" t="str">
        <f aca="true">IF(OR(B6="",D6=""),"",IF(AND(G6&lt;&gt;"Done",D6&lt;TODAY()),"OVERDUE",""))</f>
        <v/>
      </c>
    </row>
    <row r="7" customFormat="false" ht="15" hidden="false" customHeight="false" outlineLevel="0" collapsed="false">
      <c r="A7" s="13" t="n">
        <v>2</v>
      </c>
      <c r="B7" s="14"/>
      <c r="C7" s="14"/>
      <c r="D7" s="30"/>
      <c r="E7" s="14"/>
      <c r="F7" s="14"/>
      <c r="G7" s="14"/>
      <c r="H7" s="38" t="str">
        <f aca="false">IF(B7="","",IF(AND(C7&lt;&gt;"",D7&lt;&gt;"",E7&lt;&gt;""),"Valid","Tidak valid"))</f>
        <v/>
      </c>
      <c r="I7" s="27" t="str">
        <f aca="true">IF(OR(B7="",D7=""),"",IF(AND(G7&lt;&gt;"Done",D7&lt;TODAY()),"OVERDUE",""))</f>
        <v/>
      </c>
    </row>
    <row r="8" customFormat="false" ht="15" hidden="false" customHeight="false" outlineLevel="0" collapsed="false">
      <c r="A8" s="13" t="n">
        <v>3</v>
      </c>
      <c r="B8" s="14"/>
      <c r="C8" s="14"/>
      <c r="D8" s="30"/>
      <c r="E8" s="14"/>
      <c r="F8" s="14"/>
      <c r="G8" s="14"/>
      <c r="H8" s="38" t="str">
        <f aca="false">IF(B8="","",IF(AND(C8&lt;&gt;"",D8&lt;&gt;"",E8&lt;&gt;""),"Valid","Tidak valid"))</f>
        <v/>
      </c>
      <c r="I8" s="27" t="str">
        <f aca="true">IF(OR(B8="",D8=""),"",IF(AND(G8&lt;&gt;"Done",D8&lt;TODAY()),"OVERDUE",""))</f>
        <v/>
      </c>
    </row>
    <row r="9" customFormat="false" ht="15" hidden="false" customHeight="false" outlineLevel="0" collapsed="false">
      <c r="A9" s="13" t="n">
        <v>4</v>
      </c>
      <c r="B9" s="14"/>
      <c r="C9" s="14"/>
      <c r="D9" s="30"/>
      <c r="E9" s="14"/>
      <c r="F9" s="14"/>
      <c r="G9" s="14"/>
      <c r="H9" s="38" t="str">
        <f aca="false">IF(B9="","",IF(AND(C9&lt;&gt;"",D9&lt;&gt;"",E9&lt;&gt;""),"Valid","Tidak valid"))</f>
        <v/>
      </c>
      <c r="I9" s="27" t="str">
        <f aca="true">IF(OR(B9="",D9=""),"",IF(AND(G9&lt;&gt;"Done",D9&lt;TODAY()),"OVERDUE",""))</f>
        <v/>
      </c>
    </row>
    <row r="10" customFormat="false" ht="15" hidden="false" customHeight="false" outlineLevel="0" collapsed="false">
      <c r="A10" s="13" t="n">
        <v>5</v>
      </c>
      <c r="B10" s="14"/>
      <c r="C10" s="14"/>
      <c r="D10" s="30"/>
      <c r="E10" s="14"/>
      <c r="F10" s="14"/>
      <c r="G10" s="14"/>
      <c r="H10" s="38" t="str">
        <f aca="false">IF(B10="","",IF(AND(C10&lt;&gt;"",D10&lt;&gt;"",E10&lt;&gt;""),"Valid","Tidak valid"))</f>
        <v/>
      </c>
      <c r="I10" s="27" t="str">
        <f aca="true">IF(OR(B10="",D10=""),"",IF(AND(G10&lt;&gt;"Done",D10&lt;TODAY()),"OVERDUE",""))</f>
        <v/>
      </c>
    </row>
    <row r="11" customFormat="false" ht="15" hidden="false" customHeight="false" outlineLevel="0" collapsed="false">
      <c r="A11" s="13" t="n">
        <v>6</v>
      </c>
      <c r="B11" s="14"/>
      <c r="C11" s="14"/>
      <c r="D11" s="30"/>
      <c r="E11" s="14"/>
      <c r="F11" s="14"/>
      <c r="G11" s="14"/>
      <c r="H11" s="38" t="str">
        <f aca="false">IF(B11="","",IF(AND(C11&lt;&gt;"",D11&lt;&gt;"",E11&lt;&gt;""),"Valid","Tidak valid"))</f>
        <v/>
      </c>
      <c r="I11" s="27" t="str">
        <f aca="true">IF(OR(B11="",D11=""),"",IF(AND(G11&lt;&gt;"Done",D11&lt;TODAY()),"OVERDUE",""))</f>
        <v/>
      </c>
    </row>
    <row r="12" customFormat="false" ht="15" hidden="false" customHeight="false" outlineLevel="0" collapsed="false">
      <c r="A12" s="13" t="n">
        <v>7</v>
      </c>
      <c r="B12" s="14"/>
      <c r="C12" s="14"/>
      <c r="D12" s="30"/>
      <c r="E12" s="14"/>
      <c r="F12" s="14"/>
      <c r="G12" s="14"/>
      <c r="H12" s="38" t="str">
        <f aca="false">IF(B12="","",IF(AND(C12&lt;&gt;"",D12&lt;&gt;"",E12&lt;&gt;""),"Valid","Tidak valid"))</f>
        <v/>
      </c>
      <c r="I12" s="27" t="str">
        <f aca="true">IF(OR(B12="",D12=""),"",IF(AND(G12&lt;&gt;"Done",D12&lt;TODAY()),"OVERDUE",""))</f>
        <v/>
      </c>
    </row>
    <row r="13" customFormat="false" ht="15" hidden="false" customHeight="false" outlineLevel="0" collapsed="false">
      <c r="A13" s="13" t="n">
        <v>8</v>
      </c>
      <c r="B13" s="14"/>
      <c r="C13" s="14"/>
      <c r="D13" s="30"/>
      <c r="E13" s="14"/>
      <c r="F13" s="14"/>
      <c r="G13" s="14"/>
      <c r="H13" s="38" t="str">
        <f aca="false">IF(B13="","",IF(AND(C13&lt;&gt;"",D13&lt;&gt;"",E13&lt;&gt;""),"Valid","Tidak valid"))</f>
        <v/>
      </c>
      <c r="I13" s="27" t="str">
        <f aca="true">IF(OR(B13="",D13=""),"",IF(AND(G13&lt;&gt;"Done",D13&lt;TODAY()),"OVERDUE",""))</f>
        <v/>
      </c>
    </row>
    <row r="14" customFormat="false" ht="15" hidden="false" customHeight="false" outlineLevel="0" collapsed="false">
      <c r="A14" s="13" t="n">
        <v>9</v>
      </c>
      <c r="B14" s="14"/>
      <c r="C14" s="14"/>
      <c r="D14" s="30"/>
      <c r="E14" s="14"/>
      <c r="F14" s="14"/>
      <c r="G14" s="14"/>
      <c r="H14" s="38" t="str">
        <f aca="false">IF(B14="","",IF(AND(C14&lt;&gt;"",D14&lt;&gt;"",E14&lt;&gt;""),"Valid","Tidak valid"))</f>
        <v/>
      </c>
      <c r="I14" s="27" t="str">
        <f aca="true">IF(OR(B14="",D14=""),"",IF(AND(G14&lt;&gt;"Done",D14&lt;TODAY()),"OVERDUE",""))</f>
        <v/>
      </c>
    </row>
    <row r="15" customFormat="false" ht="15" hidden="false" customHeight="false" outlineLevel="0" collapsed="false">
      <c r="A15" s="13" t="n">
        <v>10</v>
      </c>
      <c r="B15" s="14"/>
      <c r="C15" s="14"/>
      <c r="D15" s="30"/>
      <c r="E15" s="14"/>
      <c r="F15" s="14"/>
      <c r="G15" s="14"/>
      <c r="H15" s="38" t="str">
        <f aca="false">IF(B15="","",IF(AND(C15&lt;&gt;"",D15&lt;&gt;"",E15&lt;&gt;""),"Valid","Tidak valid"))</f>
        <v/>
      </c>
      <c r="I15" s="27" t="str">
        <f aca="true">IF(OR(B15="",D15=""),"",IF(AND(G15&lt;&gt;"Done",D15&lt;TODAY()),"OVERDUE",""))</f>
        <v/>
      </c>
    </row>
    <row r="16" customFormat="false" ht="15" hidden="false" customHeight="false" outlineLevel="0" collapsed="false">
      <c r="A16" s="13" t="n">
        <v>11</v>
      </c>
      <c r="B16" s="14"/>
      <c r="C16" s="14"/>
      <c r="D16" s="30"/>
      <c r="E16" s="14"/>
      <c r="F16" s="14"/>
      <c r="G16" s="14"/>
      <c r="H16" s="38" t="str">
        <f aca="false">IF(B16="","",IF(AND(C16&lt;&gt;"",D16&lt;&gt;"",E16&lt;&gt;""),"Valid","Tidak valid"))</f>
        <v/>
      </c>
      <c r="I16" s="27" t="str">
        <f aca="true">IF(OR(B16="",D16=""),"",IF(AND(G16&lt;&gt;"Done",D16&lt;TODAY()),"OVERDUE",""))</f>
        <v/>
      </c>
    </row>
    <row r="17" customFormat="false" ht="15" hidden="false" customHeight="false" outlineLevel="0" collapsed="false">
      <c r="A17" s="13" t="n">
        <v>12</v>
      </c>
      <c r="B17" s="14"/>
      <c r="C17" s="14"/>
      <c r="D17" s="30"/>
      <c r="E17" s="14"/>
      <c r="F17" s="14"/>
      <c r="G17" s="14"/>
      <c r="H17" s="38" t="str">
        <f aca="false">IF(B17="","",IF(AND(C17&lt;&gt;"",D17&lt;&gt;"",E17&lt;&gt;""),"Valid","Tidak valid"))</f>
        <v/>
      </c>
      <c r="I17" s="27" t="str">
        <f aca="true">IF(OR(B17="",D17=""),"",IF(AND(G17&lt;&gt;"Done",D17&lt;TODAY()),"OVERDUE",""))</f>
        <v/>
      </c>
    </row>
    <row r="18" customFormat="false" ht="15" hidden="false" customHeight="false" outlineLevel="0" collapsed="false">
      <c r="A18" s="13" t="n">
        <v>13</v>
      </c>
      <c r="B18" s="14"/>
      <c r="C18" s="14"/>
      <c r="D18" s="30"/>
      <c r="E18" s="14"/>
      <c r="F18" s="14"/>
      <c r="G18" s="14"/>
      <c r="H18" s="38" t="str">
        <f aca="false">IF(B18="","",IF(AND(C18&lt;&gt;"",D18&lt;&gt;"",E18&lt;&gt;""),"Valid","Tidak valid"))</f>
        <v/>
      </c>
      <c r="I18" s="27" t="str">
        <f aca="true">IF(OR(B18="",D18=""),"",IF(AND(G18&lt;&gt;"Done",D18&lt;TODAY()),"OVERDUE",""))</f>
        <v/>
      </c>
    </row>
    <row r="19" customFormat="false" ht="15" hidden="false" customHeight="false" outlineLevel="0" collapsed="false">
      <c r="A19" s="13" t="n">
        <v>14</v>
      </c>
      <c r="B19" s="14"/>
      <c r="C19" s="14"/>
      <c r="D19" s="30"/>
      <c r="E19" s="14"/>
      <c r="F19" s="14"/>
      <c r="G19" s="14"/>
      <c r="H19" s="38" t="str">
        <f aca="false">IF(B19="","",IF(AND(C19&lt;&gt;"",D19&lt;&gt;"",E19&lt;&gt;""),"Valid","Tidak valid"))</f>
        <v/>
      </c>
      <c r="I19" s="27" t="str">
        <f aca="true">IF(OR(B19="",D19=""),"",IF(AND(G19&lt;&gt;"Done",D19&lt;TODAY()),"OVERDUE",""))</f>
        <v/>
      </c>
    </row>
    <row r="20" customFormat="false" ht="15" hidden="false" customHeight="false" outlineLevel="0" collapsed="false">
      <c r="A20" s="13" t="n">
        <v>15</v>
      </c>
      <c r="B20" s="14"/>
      <c r="C20" s="14"/>
      <c r="D20" s="30"/>
      <c r="E20" s="14"/>
      <c r="F20" s="14"/>
      <c r="G20" s="14"/>
      <c r="H20" s="38" t="str">
        <f aca="false">IF(B20="","",IF(AND(C20&lt;&gt;"",D20&lt;&gt;"",E20&lt;&gt;""),"Valid","Tidak valid"))</f>
        <v/>
      </c>
      <c r="I20" s="27" t="str">
        <f aca="true">IF(OR(B20="",D20=""),"",IF(AND(G20&lt;&gt;"Done",D20&lt;TODAY()),"OVERDUE",""))</f>
        <v/>
      </c>
    </row>
    <row r="21" customFormat="false" ht="15" hidden="false" customHeight="false" outlineLevel="0" collapsed="false">
      <c r="A21" s="13" t="n">
        <v>16</v>
      </c>
      <c r="B21" s="14"/>
      <c r="C21" s="14"/>
      <c r="D21" s="30"/>
      <c r="E21" s="14"/>
      <c r="F21" s="14"/>
      <c r="G21" s="14"/>
      <c r="H21" s="38" t="str">
        <f aca="false">IF(B21="","",IF(AND(C21&lt;&gt;"",D21&lt;&gt;"",E21&lt;&gt;""),"Valid","Tidak valid"))</f>
        <v/>
      </c>
      <c r="I21" s="27" t="str">
        <f aca="true">IF(OR(B21="",D21=""),"",IF(AND(G21&lt;&gt;"Done",D21&lt;TODAY()),"OVERDUE",""))</f>
        <v/>
      </c>
    </row>
    <row r="22" customFormat="false" ht="15" hidden="false" customHeight="false" outlineLevel="0" collapsed="false">
      <c r="A22" s="13" t="n">
        <v>17</v>
      </c>
      <c r="B22" s="14"/>
      <c r="C22" s="14"/>
      <c r="D22" s="30"/>
      <c r="E22" s="14"/>
      <c r="F22" s="14"/>
      <c r="G22" s="14"/>
      <c r="H22" s="38" t="str">
        <f aca="false">IF(B22="","",IF(AND(C22&lt;&gt;"",D22&lt;&gt;"",E22&lt;&gt;""),"Valid","Tidak valid"))</f>
        <v/>
      </c>
      <c r="I22" s="27" t="str">
        <f aca="true">IF(OR(B22="",D22=""),"",IF(AND(G22&lt;&gt;"Done",D22&lt;TODAY()),"OVERDUE",""))</f>
        <v/>
      </c>
    </row>
    <row r="23" customFormat="false" ht="15" hidden="false" customHeight="false" outlineLevel="0" collapsed="false">
      <c r="A23" s="13" t="n">
        <v>18</v>
      </c>
      <c r="B23" s="14"/>
      <c r="C23" s="14"/>
      <c r="D23" s="30"/>
      <c r="E23" s="14"/>
      <c r="F23" s="14"/>
      <c r="G23" s="14"/>
      <c r="H23" s="38" t="str">
        <f aca="false">IF(B23="","",IF(AND(C23&lt;&gt;"",D23&lt;&gt;"",E23&lt;&gt;""),"Valid","Tidak valid"))</f>
        <v/>
      </c>
      <c r="I23" s="27" t="str">
        <f aca="true">IF(OR(B23="",D23=""),"",IF(AND(G23&lt;&gt;"Done",D23&lt;TODAY()),"OVERDUE",""))</f>
        <v/>
      </c>
    </row>
    <row r="24" customFormat="false" ht="15" hidden="false" customHeight="false" outlineLevel="0" collapsed="false">
      <c r="A24" s="13" t="n">
        <v>19</v>
      </c>
      <c r="B24" s="14"/>
      <c r="C24" s="14"/>
      <c r="D24" s="30"/>
      <c r="E24" s="14"/>
      <c r="F24" s="14"/>
      <c r="G24" s="14"/>
      <c r="H24" s="38" t="str">
        <f aca="false">IF(B24="","",IF(AND(C24&lt;&gt;"",D24&lt;&gt;"",E24&lt;&gt;""),"Valid","Tidak valid"))</f>
        <v/>
      </c>
      <c r="I24" s="27" t="str">
        <f aca="true">IF(OR(B24="",D24=""),"",IF(AND(G24&lt;&gt;"Done",D24&lt;TODAY()),"OVERDUE",""))</f>
        <v/>
      </c>
    </row>
    <row r="25" customFormat="false" ht="15" hidden="false" customHeight="false" outlineLevel="0" collapsed="false">
      <c r="A25" s="13" t="n">
        <v>20</v>
      </c>
      <c r="B25" s="14"/>
      <c r="C25" s="14"/>
      <c r="D25" s="30"/>
      <c r="E25" s="14"/>
      <c r="F25" s="14"/>
      <c r="G25" s="14"/>
      <c r="H25" s="38" t="str">
        <f aca="false">IF(B25="","",IF(AND(C25&lt;&gt;"",D25&lt;&gt;"",E25&lt;&gt;""),"Valid","Tidak valid"))</f>
        <v/>
      </c>
      <c r="I25" s="27" t="str">
        <f aca="true">IF(OR(B25="",D25=""),"",IF(AND(G25&lt;&gt;"Done",D25&lt;TODAY()),"OVERDUE",""))</f>
        <v/>
      </c>
    </row>
    <row r="27" customFormat="false" ht="15" hidden="false" customHeight="false" outlineLevel="0" collapsed="false">
      <c r="A27" s="15" t="s">
        <v>485</v>
      </c>
      <c r="B27" s="15" t="n">
        <f aca="false">COUNTA(B6:B25)</f>
        <v>1</v>
      </c>
    </row>
    <row r="28" customFormat="false" ht="15" hidden="false" customHeight="false" outlineLevel="0" collapsed="false">
      <c r="A28" s="15" t="s">
        <v>486</v>
      </c>
      <c r="B28" s="15" t="n">
        <f aca="false">COUNTIF(G6:G25,"Done")</f>
        <v>0</v>
      </c>
    </row>
    <row r="29" customFormat="false" ht="15" hidden="false" customHeight="false" outlineLevel="0" collapsed="false">
      <c r="A29" s="15" t="s">
        <v>487</v>
      </c>
      <c r="B29" s="31" t="n">
        <f aca="false">IFERROR(B28/B27,0)</f>
        <v>0</v>
      </c>
    </row>
    <row r="30" customFormat="false" ht="15" hidden="false" customHeight="false" outlineLevel="0" collapsed="false">
      <c r="A30" s="15" t="s">
        <v>488</v>
      </c>
      <c r="B30" s="15" t="n">
        <f aca="false">COUNTIF(I6:I25,"OVERDUE")</f>
        <v>0</v>
      </c>
    </row>
    <row r="31" customFormat="false" ht="15" hidden="false" customHeight="false" outlineLevel="0" collapsed="false">
      <c r="A31" s="15" t="s">
        <v>489</v>
      </c>
      <c r="B31" s="15" t="n">
        <f aca="false">COUNTIF(H6:H25,"Tidak valid")</f>
        <v>1</v>
      </c>
    </row>
  </sheetData>
  <conditionalFormatting sqref="I6:I25">
    <cfRule type="cellIs" priority="2" operator="equal" aboveAverage="0" equalAverage="0" bottom="0" percent="0" rank="0" text="" dxfId="0">
      <formula>"OVERDUE"</formula>
    </cfRule>
  </conditionalFormatting>
  <conditionalFormatting sqref="H6:H25">
    <cfRule type="cellIs" priority="3" operator="equal" aboveAverage="0" equalAverage="0" bottom="0" percent="0" rank="0" text="" dxfId="1">
      <formula>"Tidak valid"</formula>
    </cfRule>
  </conditionalFormatting>
  <dataValidations count="1">
    <dataValidation allowBlank="true" errorStyle="stop" operator="between" showDropDown="false" showErrorMessage="false" showInputMessage="false" sqref="G6:G25" type="list">
      <formula1>"Not started,On track,At risk,Done"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9" min="7" style="0" width="7"/>
    <col collapsed="false" customWidth="true" hidden="false" outlineLevel="0" max="10" min="10" style="0" width="10"/>
    <col collapsed="false" customWidth="true" hidden="false" outlineLevel="0" max="13" min="11" style="0" width="7"/>
    <col collapsed="false" customWidth="true" hidden="false" outlineLevel="0" max="14" min="14" style="0" width="10"/>
    <col collapsed="false" customWidth="true" hidden="false" outlineLevel="0" max="17" min="15" style="0" width="7"/>
    <col collapsed="false" customWidth="true" hidden="false" outlineLevel="0" max="18" min="18" style="0" width="10"/>
    <col collapsed="false" customWidth="true" hidden="false" outlineLevel="0" max="21" min="19" style="0" width="7"/>
  </cols>
  <sheetData>
    <row r="1" customFormat="false" ht="27.75" hidden="false" customHeight="true" outlineLevel="0" collapsed="false">
      <c r="A1" s="9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10" t="s">
        <v>50</v>
      </c>
    </row>
    <row r="3" customFormat="false" ht="15" hidden="false" customHeight="false" outlineLevel="0" collapsed="false">
      <c r="A3" s="4" t="s">
        <v>86</v>
      </c>
    </row>
    <row r="5" customFormat="false" ht="23.85" hidden="false" customHeight="false" outlineLevel="0" collapsed="false">
      <c r="A5" s="15" t="s">
        <v>490</v>
      </c>
      <c r="B5" s="12" t="n">
        <v>15</v>
      </c>
      <c r="C5" s="12" t="n">
        <v>10</v>
      </c>
      <c r="D5" s="12" t="n">
        <v>0</v>
      </c>
    </row>
    <row r="6" customFormat="false" ht="30" hidden="false" customHeight="true" outlineLevel="0" collapsed="false">
      <c r="A6" s="5" t="s">
        <v>491</v>
      </c>
      <c r="B6" s="5" t="s">
        <v>87</v>
      </c>
      <c r="C6" s="5" t="s">
        <v>492</v>
      </c>
      <c r="D6" s="5" t="s">
        <v>493</v>
      </c>
      <c r="E6" s="5" t="s">
        <v>494</v>
      </c>
      <c r="F6" s="39" t="s">
        <v>495</v>
      </c>
      <c r="G6" s="39" t="s">
        <v>496</v>
      </c>
      <c r="H6" s="39" t="s">
        <v>112</v>
      </c>
      <c r="I6" s="39" t="s">
        <v>121</v>
      </c>
      <c r="J6" s="40" t="s">
        <v>497</v>
      </c>
      <c r="K6" s="40" t="s">
        <v>496</v>
      </c>
      <c r="L6" s="40" t="s">
        <v>112</v>
      </c>
      <c r="M6" s="40" t="s">
        <v>121</v>
      </c>
      <c r="N6" s="39" t="s">
        <v>498</v>
      </c>
      <c r="O6" s="39" t="s">
        <v>496</v>
      </c>
      <c r="P6" s="39" t="s">
        <v>112</v>
      </c>
      <c r="Q6" s="39" t="s">
        <v>121</v>
      </c>
      <c r="R6" s="40" t="s">
        <v>499</v>
      </c>
      <c r="S6" s="40" t="s">
        <v>496</v>
      </c>
      <c r="T6" s="40" t="s">
        <v>112</v>
      </c>
      <c r="U6" s="40" t="s">
        <v>121</v>
      </c>
    </row>
    <row r="7" customFormat="false" ht="15" hidden="false" customHeight="false" outlineLevel="0" collapsed="false">
      <c r="A7" s="7" t="s">
        <v>500</v>
      </c>
      <c r="B7" s="12" t="s">
        <v>118</v>
      </c>
      <c r="C7" s="12" t="s">
        <v>501</v>
      </c>
      <c r="D7" s="12" t="s">
        <v>502</v>
      </c>
      <c r="E7" s="12" t="n">
        <v>30</v>
      </c>
      <c r="F7" s="12" t="s">
        <v>501</v>
      </c>
      <c r="G7" s="13" t="n">
        <f aca="false">IF(F7="","",IF(F7=C7,10,IF(F7=D7,5,0)))</f>
        <v>10</v>
      </c>
      <c r="H7" s="13" t="n">
        <f aca="false">IF(F7="","",IF(F7="Do",E7,IF(F7="Delegate",$B$5,IF(F7="Escalate",$C$5,$D$5))))</f>
        <v>30</v>
      </c>
      <c r="I7" s="13" t="n">
        <f aca="false">IF(AND(B7="Risk",F7="Defer"),-10,0)</f>
        <v>0</v>
      </c>
      <c r="J7" s="12" t="s">
        <v>501</v>
      </c>
      <c r="K7" s="13" t="n">
        <f aca="false">IF(J7="","",IF(J7=C7,10,IF(J7=D7,5,0)))</f>
        <v>10</v>
      </c>
      <c r="L7" s="13" t="n">
        <f aca="false">IF(J7="","",IF(J7="Do",E7,IF(J7="Delegate",$B$5,IF(J7="Escalate",$C$5,$D$5))))</f>
        <v>30</v>
      </c>
      <c r="M7" s="13" t="n">
        <f aca="false">IF(AND(B7="Risk",J7="Defer"),-10,0)</f>
        <v>0</v>
      </c>
      <c r="N7" s="12"/>
      <c r="O7" s="13" t="str">
        <f aca="false">IF(N7="","",IF(N7=C7,10,IF(N7=D7,5,0)))</f>
        <v/>
      </c>
      <c r="P7" s="13" t="str">
        <f aca="false">IF(N7="","",IF(N7="Do",E7,IF(N7="Delegate",$B$5,IF(N7="Escalate",$C$5,$D$5))))</f>
        <v/>
      </c>
      <c r="Q7" s="13" t="n">
        <f aca="false">IF(AND(B7="Risk",N7="Defer"),-10,0)</f>
        <v>0</v>
      </c>
      <c r="R7" s="12"/>
      <c r="S7" s="13" t="str">
        <f aca="false">IF(R7="","",IF(R7=C7,10,IF(R7=D7,5,0)))</f>
        <v/>
      </c>
      <c r="T7" s="13" t="str">
        <f aca="false">IF(R7="","",IF(R7="Do",E7,IF(R7="Delegate",$B$5,IF(R7="Escalate",$C$5,$D$5))))</f>
        <v/>
      </c>
      <c r="U7" s="13" t="n">
        <f aca="false">IF(AND(B7="Risk",R7="Defer"),-10,0)</f>
        <v>0</v>
      </c>
    </row>
    <row r="8" customFormat="false" ht="15" hidden="false" customHeight="false" outlineLevel="0" collapsed="false">
      <c r="A8" s="7" t="s">
        <v>503</v>
      </c>
      <c r="B8" s="12" t="s">
        <v>119</v>
      </c>
      <c r="C8" s="12" t="s">
        <v>504</v>
      </c>
      <c r="D8" s="12" t="s">
        <v>501</v>
      </c>
      <c r="E8" s="12" t="n">
        <v>45</v>
      </c>
      <c r="F8" s="12" t="s">
        <v>504</v>
      </c>
      <c r="G8" s="13" t="n">
        <f aca="false">IF(F8="","",IF(F8=C8,10,IF(F8=D8,5,0)))</f>
        <v>10</v>
      </c>
      <c r="H8" s="13" t="n">
        <f aca="false">IF(F8="","",IF(F8="Do",E8,IF(F8="Delegate",$B$5,IF(F8="Escalate",$C$5,$D$5))))</f>
        <v>10</v>
      </c>
      <c r="I8" s="13" t="n">
        <f aca="false">IF(AND(B8="Risk",F8="Defer"),-10,0)</f>
        <v>0</v>
      </c>
      <c r="J8" s="12" t="s">
        <v>505</v>
      </c>
      <c r="K8" s="13" t="n">
        <f aca="false">IF(J8="","",IF(J8=C8,10,IF(J8=D8,5,0)))</f>
        <v>0</v>
      </c>
      <c r="L8" s="13" t="n">
        <f aca="false">IF(J8="","",IF(J8="Do",E8,IF(J8="Delegate",$B$5,IF(J8="Escalate",$C$5,$D$5))))</f>
        <v>0</v>
      </c>
      <c r="M8" s="13" t="n">
        <f aca="false">IF(AND(B8="Risk",J8="Defer"),-10,0)</f>
        <v>-10</v>
      </c>
      <c r="N8" s="12"/>
      <c r="O8" s="13" t="str">
        <f aca="false">IF(N8="","",IF(N8=C8,10,IF(N8=D8,5,0)))</f>
        <v/>
      </c>
      <c r="P8" s="13" t="str">
        <f aca="false">IF(N8="","",IF(N8="Do",E8,IF(N8="Delegate",$B$5,IF(N8="Escalate",$C$5,$D$5))))</f>
        <v/>
      </c>
      <c r="Q8" s="13" t="n">
        <f aca="false">IF(AND(B8="Risk",N8="Defer"),-10,0)</f>
        <v>0</v>
      </c>
      <c r="R8" s="12"/>
      <c r="S8" s="13" t="str">
        <f aca="false">IF(R8="","",IF(R8=C8,10,IF(R8=D8,5,0)))</f>
        <v/>
      </c>
      <c r="T8" s="13" t="str">
        <f aca="false">IF(R8="","",IF(R8="Do",E8,IF(R8="Delegate",$B$5,IF(R8="Escalate",$C$5,$D$5))))</f>
        <v/>
      </c>
      <c r="U8" s="13" t="n">
        <f aca="false">IF(AND(B8="Risk",R8="Defer"),-10,0)</f>
        <v>0</v>
      </c>
    </row>
    <row r="9" customFormat="false" ht="15" hidden="false" customHeight="false" outlineLevel="0" collapsed="false">
      <c r="A9" s="7" t="s">
        <v>506</v>
      </c>
      <c r="B9" s="12" t="s">
        <v>117</v>
      </c>
      <c r="C9" s="12" t="s">
        <v>501</v>
      </c>
      <c r="D9" s="12" t="s">
        <v>502</v>
      </c>
      <c r="E9" s="12" t="n">
        <v>45</v>
      </c>
      <c r="F9" s="12" t="s">
        <v>501</v>
      </c>
      <c r="G9" s="13" t="n">
        <f aca="false">IF(F9="","",IF(F9=C9,10,IF(F9=D9,5,0)))</f>
        <v>10</v>
      </c>
      <c r="H9" s="13" t="n">
        <f aca="false">IF(F9="","",IF(F9="Do",E9,IF(F9="Delegate",$B$5,IF(F9="Escalate",$C$5,$D$5))))</f>
        <v>45</v>
      </c>
      <c r="I9" s="13" t="n">
        <f aca="false">IF(AND(B9="Risk",F9="Defer"),-10,0)</f>
        <v>0</v>
      </c>
      <c r="J9" s="12" t="s">
        <v>501</v>
      </c>
      <c r="K9" s="13" t="n">
        <f aca="false">IF(J9="","",IF(J9=C9,10,IF(J9=D9,5,0)))</f>
        <v>10</v>
      </c>
      <c r="L9" s="13" t="n">
        <f aca="false">IF(J9="","",IF(J9="Do",E9,IF(J9="Delegate",$B$5,IF(J9="Escalate",$C$5,$D$5))))</f>
        <v>45</v>
      </c>
      <c r="M9" s="13" t="n">
        <f aca="false">IF(AND(B9="Risk",J9="Defer"),-10,0)</f>
        <v>0</v>
      </c>
      <c r="N9" s="12"/>
      <c r="O9" s="13" t="str">
        <f aca="false">IF(N9="","",IF(N9=C9,10,IF(N9=D9,5,0)))</f>
        <v/>
      </c>
      <c r="P9" s="13" t="str">
        <f aca="false">IF(N9="","",IF(N9="Do",E9,IF(N9="Delegate",$B$5,IF(N9="Escalate",$C$5,$D$5))))</f>
        <v/>
      </c>
      <c r="Q9" s="13" t="n">
        <f aca="false">IF(AND(B9="Risk",N9="Defer"),-10,0)</f>
        <v>0</v>
      </c>
      <c r="R9" s="12"/>
      <c r="S9" s="13" t="str">
        <f aca="false">IF(R9="","",IF(R9=C9,10,IF(R9=D9,5,0)))</f>
        <v/>
      </c>
      <c r="T9" s="13" t="str">
        <f aca="false">IF(R9="","",IF(R9="Do",E9,IF(R9="Delegate",$B$5,IF(R9="Escalate",$C$5,$D$5))))</f>
        <v/>
      </c>
      <c r="U9" s="13" t="n">
        <f aca="false">IF(AND(B9="Risk",R9="Defer"),-10,0)</f>
        <v>0</v>
      </c>
    </row>
    <row r="10" customFormat="false" ht="15" hidden="false" customHeight="false" outlineLevel="0" collapsed="false">
      <c r="A10" s="7" t="s">
        <v>507</v>
      </c>
      <c r="B10" s="12" t="s">
        <v>120</v>
      </c>
      <c r="C10" s="12" t="s">
        <v>502</v>
      </c>
      <c r="D10" s="12" t="s">
        <v>501</v>
      </c>
      <c r="E10" s="12" t="n">
        <v>30</v>
      </c>
      <c r="F10" s="12" t="s">
        <v>502</v>
      </c>
      <c r="G10" s="13" t="n">
        <f aca="false">IF(F10="","",IF(F10=C10,10,IF(F10=D10,5,0)))</f>
        <v>10</v>
      </c>
      <c r="H10" s="13" t="n">
        <f aca="false">IF(F10="","",IF(F10="Do",E10,IF(F10="Delegate",$B$5,IF(F10="Escalate",$C$5,$D$5))))</f>
        <v>15</v>
      </c>
      <c r="I10" s="13" t="n">
        <f aca="false">IF(AND(B10="Risk",F10="Defer"),-10,0)</f>
        <v>0</v>
      </c>
      <c r="J10" s="12" t="s">
        <v>501</v>
      </c>
      <c r="K10" s="13" t="n">
        <f aca="false">IF(J10="","",IF(J10=C10,10,IF(J10=D10,5,0)))</f>
        <v>5</v>
      </c>
      <c r="L10" s="13" t="n">
        <f aca="false">IF(J10="","",IF(J10="Do",E10,IF(J10="Delegate",$B$5,IF(J10="Escalate",$C$5,$D$5))))</f>
        <v>30</v>
      </c>
      <c r="M10" s="13" t="n">
        <f aca="false">IF(AND(B10="Risk",J10="Defer"),-10,0)</f>
        <v>0</v>
      </c>
      <c r="N10" s="12"/>
      <c r="O10" s="13" t="str">
        <f aca="false">IF(N10="","",IF(N10=C10,10,IF(N10=D10,5,0)))</f>
        <v/>
      </c>
      <c r="P10" s="13" t="str">
        <f aca="false">IF(N10="","",IF(N10="Do",E10,IF(N10="Delegate",$B$5,IF(N10="Escalate",$C$5,$D$5))))</f>
        <v/>
      </c>
      <c r="Q10" s="13" t="n">
        <f aca="false">IF(AND(B10="Risk",N10="Defer"),-10,0)</f>
        <v>0</v>
      </c>
      <c r="R10" s="12"/>
      <c r="S10" s="13" t="str">
        <f aca="false">IF(R10="","",IF(R10=C10,10,IF(R10=D10,5,0)))</f>
        <v/>
      </c>
      <c r="T10" s="13" t="str">
        <f aca="false">IF(R10="","",IF(R10="Do",E10,IF(R10="Delegate",$B$5,IF(R10="Escalate",$C$5,$D$5))))</f>
        <v/>
      </c>
      <c r="U10" s="13" t="n">
        <f aca="false">IF(AND(B10="Risk",R10="Defer"),-10,0)</f>
        <v>0</v>
      </c>
    </row>
    <row r="11" customFormat="false" ht="15" hidden="false" customHeight="false" outlineLevel="0" collapsed="false">
      <c r="A11" s="7" t="s">
        <v>508</v>
      </c>
      <c r="B11" s="12" t="s">
        <v>119</v>
      </c>
      <c r="C11" s="12" t="s">
        <v>501</v>
      </c>
      <c r="D11" s="12" t="s">
        <v>502</v>
      </c>
      <c r="E11" s="12" t="n">
        <v>60</v>
      </c>
      <c r="F11" s="12" t="s">
        <v>501</v>
      </c>
      <c r="G11" s="13" t="n">
        <f aca="false">IF(F11="","",IF(F11=C11,10,IF(F11=D11,5,0)))</f>
        <v>10</v>
      </c>
      <c r="H11" s="13" t="n">
        <f aca="false">IF(F11="","",IF(F11="Do",E11,IF(F11="Delegate",$B$5,IF(F11="Escalate",$C$5,$D$5))))</f>
        <v>60</v>
      </c>
      <c r="I11" s="13" t="n">
        <f aca="false">IF(AND(B11="Risk",F11="Defer"),-10,0)</f>
        <v>0</v>
      </c>
      <c r="J11" s="12" t="s">
        <v>502</v>
      </c>
      <c r="K11" s="13" t="n">
        <f aca="false">IF(J11="","",IF(J11=C11,10,IF(J11=D11,5,0)))</f>
        <v>5</v>
      </c>
      <c r="L11" s="13" t="n">
        <f aca="false">IF(J11="","",IF(J11="Do",E11,IF(J11="Delegate",$B$5,IF(J11="Escalate",$C$5,$D$5))))</f>
        <v>15</v>
      </c>
      <c r="M11" s="13" t="n">
        <f aca="false">IF(AND(B11="Risk",J11="Defer"),-10,0)</f>
        <v>0</v>
      </c>
      <c r="N11" s="12"/>
      <c r="O11" s="13" t="str">
        <f aca="false">IF(N11="","",IF(N11=C11,10,IF(N11=D11,5,0)))</f>
        <v/>
      </c>
      <c r="P11" s="13" t="str">
        <f aca="false">IF(N11="","",IF(N11="Do",E11,IF(N11="Delegate",$B$5,IF(N11="Escalate",$C$5,$D$5))))</f>
        <v/>
      </c>
      <c r="Q11" s="13" t="n">
        <f aca="false">IF(AND(B11="Risk",N11="Defer"),-10,0)</f>
        <v>0</v>
      </c>
      <c r="R11" s="12"/>
      <c r="S11" s="13" t="str">
        <f aca="false">IF(R11="","",IF(R11=C11,10,IF(R11=D11,5,0)))</f>
        <v/>
      </c>
      <c r="T11" s="13" t="str">
        <f aca="false">IF(R11="","",IF(R11="Do",E11,IF(R11="Delegate",$B$5,IF(R11="Escalate",$C$5,$D$5))))</f>
        <v/>
      </c>
      <c r="U11" s="13" t="n">
        <f aca="false">IF(AND(B11="Risk",R11="Defer"),-10,0)</f>
        <v>0</v>
      </c>
    </row>
    <row r="12" customFormat="false" ht="15" hidden="false" customHeight="false" outlineLevel="0" collapsed="false">
      <c r="A12" s="7" t="s">
        <v>509</v>
      </c>
      <c r="B12" s="12" t="s">
        <v>103</v>
      </c>
      <c r="C12" s="12" t="s">
        <v>502</v>
      </c>
      <c r="D12" s="12" t="s">
        <v>501</v>
      </c>
      <c r="E12" s="12" t="n">
        <v>40</v>
      </c>
      <c r="F12" s="12"/>
      <c r="G12" s="13" t="str">
        <f aca="false">IF(F12="","",IF(F12=C12,10,IF(F12=D12,5,0)))</f>
        <v/>
      </c>
      <c r="H12" s="13" t="str">
        <f aca="false">IF(F12="","",IF(F12="Do",E12,IF(F12="Delegate",$B$5,IF(F12="Escalate",$C$5,$D$5))))</f>
        <v/>
      </c>
      <c r="I12" s="13" t="n">
        <f aca="false">IF(AND(B12="Risk",F12="Defer"),-10,0)</f>
        <v>0</v>
      </c>
      <c r="J12" s="12"/>
      <c r="K12" s="13" t="str">
        <f aca="false">IF(J12="","",IF(J12=C12,10,IF(J12=D12,5,0)))</f>
        <v/>
      </c>
      <c r="L12" s="13" t="str">
        <f aca="false">IF(J12="","",IF(J12="Do",E12,IF(J12="Delegate",$B$5,IF(J12="Escalate",$C$5,$D$5))))</f>
        <v/>
      </c>
      <c r="M12" s="13" t="n">
        <f aca="false">IF(AND(B12="Risk",J12="Defer"),-10,0)</f>
        <v>0</v>
      </c>
      <c r="N12" s="12"/>
      <c r="O12" s="13" t="str">
        <f aca="false">IF(N12="","",IF(N12=C12,10,IF(N12=D12,5,0)))</f>
        <v/>
      </c>
      <c r="P12" s="13" t="str">
        <f aca="false">IF(N12="","",IF(N12="Do",E12,IF(N12="Delegate",$B$5,IF(N12="Escalate",$C$5,$D$5))))</f>
        <v/>
      </c>
      <c r="Q12" s="13" t="n">
        <f aca="false">IF(AND(B12="Risk",N12="Defer"),-10,0)</f>
        <v>0</v>
      </c>
      <c r="R12" s="12"/>
      <c r="S12" s="13" t="str">
        <f aca="false">IF(R12="","",IF(R12=C12,10,IF(R12=D12,5,0)))</f>
        <v/>
      </c>
      <c r="T12" s="13" t="str">
        <f aca="false">IF(R12="","",IF(R12="Do",E12,IF(R12="Delegate",$B$5,IF(R12="Escalate",$C$5,$D$5))))</f>
        <v/>
      </c>
      <c r="U12" s="13" t="n">
        <f aca="false">IF(AND(B12="Risk",R12="Defer"),-10,0)</f>
        <v>0</v>
      </c>
    </row>
    <row r="13" customFormat="false" ht="15" hidden="false" customHeight="false" outlineLevel="0" collapsed="false">
      <c r="A13" s="7" t="s">
        <v>510</v>
      </c>
      <c r="B13" s="12" t="s">
        <v>119</v>
      </c>
      <c r="C13" s="12" t="s">
        <v>501</v>
      </c>
      <c r="D13" s="12" t="s">
        <v>504</v>
      </c>
      <c r="E13" s="12" t="n">
        <v>30</v>
      </c>
      <c r="F13" s="12"/>
      <c r="G13" s="13" t="str">
        <f aca="false">IF(F13="","",IF(F13=C13,10,IF(F13=D13,5,0)))</f>
        <v/>
      </c>
      <c r="H13" s="13" t="str">
        <f aca="false">IF(F13="","",IF(F13="Do",E13,IF(F13="Delegate",$B$5,IF(F13="Escalate",$C$5,$D$5))))</f>
        <v/>
      </c>
      <c r="I13" s="13" t="n">
        <f aca="false">IF(AND(B13="Risk",F13="Defer"),-10,0)</f>
        <v>0</v>
      </c>
      <c r="J13" s="12"/>
      <c r="K13" s="13" t="str">
        <f aca="false">IF(J13="","",IF(J13=C13,10,IF(J13=D13,5,0)))</f>
        <v/>
      </c>
      <c r="L13" s="13" t="str">
        <f aca="false">IF(J13="","",IF(J13="Do",E13,IF(J13="Delegate",$B$5,IF(J13="Escalate",$C$5,$D$5))))</f>
        <v/>
      </c>
      <c r="M13" s="13" t="n">
        <f aca="false">IF(AND(B13="Risk",J13="Defer"),-10,0)</f>
        <v>0</v>
      </c>
      <c r="N13" s="12"/>
      <c r="O13" s="13" t="str">
        <f aca="false">IF(N13="","",IF(N13=C13,10,IF(N13=D13,5,0)))</f>
        <v/>
      </c>
      <c r="P13" s="13" t="str">
        <f aca="false">IF(N13="","",IF(N13="Do",E13,IF(N13="Delegate",$B$5,IF(N13="Escalate",$C$5,$D$5))))</f>
        <v/>
      </c>
      <c r="Q13" s="13" t="n">
        <f aca="false">IF(AND(B13="Risk",N13="Defer"),-10,0)</f>
        <v>0</v>
      </c>
      <c r="R13" s="12"/>
      <c r="S13" s="13" t="str">
        <f aca="false">IF(R13="","",IF(R13=C13,10,IF(R13=D13,5,0)))</f>
        <v/>
      </c>
      <c r="T13" s="13" t="str">
        <f aca="false">IF(R13="","",IF(R13="Do",E13,IF(R13="Delegate",$B$5,IF(R13="Escalate",$C$5,$D$5))))</f>
        <v/>
      </c>
      <c r="U13" s="13" t="n">
        <f aca="false">IF(AND(B13="Risk",R13="Defer"),-10,0)</f>
        <v>0</v>
      </c>
    </row>
    <row r="14" customFormat="false" ht="15" hidden="false" customHeight="false" outlineLevel="0" collapsed="false">
      <c r="A14" s="7" t="s">
        <v>511</v>
      </c>
      <c r="B14" s="12" t="s">
        <v>117</v>
      </c>
      <c r="C14" s="12" t="s">
        <v>501</v>
      </c>
      <c r="D14" s="12" t="s">
        <v>502</v>
      </c>
      <c r="E14" s="12" t="n">
        <v>60</v>
      </c>
      <c r="F14" s="12"/>
      <c r="G14" s="13" t="str">
        <f aca="false">IF(F14="","",IF(F14=C14,10,IF(F14=D14,5,0)))</f>
        <v/>
      </c>
      <c r="H14" s="13" t="str">
        <f aca="false">IF(F14="","",IF(F14="Do",E14,IF(F14="Delegate",$B$5,IF(F14="Escalate",$C$5,$D$5))))</f>
        <v/>
      </c>
      <c r="I14" s="13" t="n">
        <f aca="false">IF(AND(B14="Risk",F14="Defer"),-10,0)</f>
        <v>0</v>
      </c>
      <c r="J14" s="12"/>
      <c r="K14" s="13" t="str">
        <f aca="false">IF(J14="","",IF(J14=C14,10,IF(J14=D14,5,0)))</f>
        <v/>
      </c>
      <c r="L14" s="13" t="str">
        <f aca="false">IF(J14="","",IF(J14="Do",E14,IF(J14="Delegate",$B$5,IF(J14="Escalate",$C$5,$D$5))))</f>
        <v/>
      </c>
      <c r="M14" s="13" t="n">
        <f aca="false">IF(AND(B14="Risk",J14="Defer"),-10,0)</f>
        <v>0</v>
      </c>
      <c r="N14" s="12"/>
      <c r="O14" s="13" t="str">
        <f aca="false">IF(N14="","",IF(N14=C14,10,IF(N14=D14,5,0)))</f>
        <v/>
      </c>
      <c r="P14" s="13" t="str">
        <f aca="false">IF(N14="","",IF(N14="Do",E14,IF(N14="Delegate",$B$5,IF(N14="Escalate",$C$5,$D$5))))</f>
        <v/>
      </c>
      <c r="Q14" s="13" t="n">
        <f aca="false">IF(AND(B14="Risk",N14="Defer"),-10,0)</f>
        <v>0</v>
      </c>
      <c r="R14" s="12"/>
      <c r="S14" s="13" t="str">
        <f aca="false">IF(R14="","",IF(R14=C14,10,IF(R14=D14,5,0)))</f>
        <v/>
      </c>
      <c r="T14" s="13" t="str">
        <f aca="false">IF(R14="","",IF(R14="Do",E14,IF(R14="Delegate",$B$5,IF(R14="Escalate",$C$5,$D$5))))</f>
        <v/>
      </c>
      <c r="U14" s="13" t="n">
        <f aca="false">IF(AND(B14="Risk",R14="Defer"),-10,0)</f>
        <v>0</v>
      </c>
    </row>
    <row r="15" customFormat="false" ht="15" hidden="false" customHeight="false" outlineLevel="0" collapsed="false">
      <c r="A15" s="7" t="s">
        <v>512</v>
      </c>
      <c r="B15" s="12" t="s">
        <v>118</v>
      </c>
      <c r="C15" s="12" t="s">
        <v>504</v>
      </c>
      <c r="D15" s="12" t="s">
        <v>502</v>
      </c>
      <c r="E15" s="12" t="n">
        <v>20</v>
      </c>
      <c r="F15" s="12"/>
      <c r="G15" s="13" t="str">
        <f aca="false">IF(F15="","",IF(F15=C15,10,IF(F15=D15,5,0)))</f>
        <v/>
      </c>
      <c r="H15" s="13" t="str">
        <f aca="false">IF(F15="","",IF(F15="Do",E15,IF(F15="Delegate",$B$5,IF(F15="Escalate",$C$5,$D$5))))</f>
        <v/>
      </c>
      <c r="I15" s="13" t="n">
        <f aca="false">IF(AND(B15="Risk",F15="Defer"),-10,0)</f>
        <v>0</v>
      </c>
      <c r="J15" s="12"/>
      <c r="K15" s="13" t="str">
        <f aca="false">IF(J15="","",IF(J15=C15,10,IF(J15=D15,5,0)))</f>
        <v/>
      </c>
      <c r="L15" s="13" t="str">
        <f aca="false">IF(J15="","",IF(J15="Do",E15,IF(J15="Delegate",$B$5,IF(J15="Escalate",$C$5,$D$5))))</f>
        <v/>
      </c>
      <c r="M15" s="13" t="n">
        <f aca="false">IF(AND(B15="Risk",J15="Defer"),-10,0)</f>
        <v>0</v>
      </c>
      <c r="N15" s="12"/>
      <c r="O15" s="13" t="str">
        <f aca="false">IF(N15="","",IF(N15=C15,10,IF(N15=D15,5,0)))</f>
        <v/>
      </c>
      <c r="P15" s="13" t="str">
        <f aca="false">IF(N15="","",IF(N15="Do",E15,IF(N15="Delegate",$B$5,IF(N15="Escalate",$C$5,$D$5))))</f>
        <v/>
      </c>
      <c r="Q15" s="13" t="n">
        <f aca="false">IF(AND(B15="Risk",N15="Defer"),-10,0)</f>
        <v>0</v>
      </c>
      <c r="R15" s="12"/>
      <c r="S15" s="13" t="str">
        <f aca="false">IF(R15="","",IF(R15=C15,10,IF(R15=D15,5,0)))</f>
        <v/>
      </c>
      <c r="T15" s="13" t="str">
        <f aca="false">IF(R15="","",IF(R15="Do",E15,IF(R15="Delegate",$B$5,IF(R15="Escalate",$C$5,$D$5))))</f>
        <v/>
      </c>
      <c r="U15" s="13" t="n">
        <f aca="false">IF(AND(B15="Risk",R15="Defer"),-10,0)</f>
        <v>0</v>
      </c>
    </row>
    <row r="16" customFormat="false" ht="15" hidden="false" customHeight="false" outlineLevel="0" collapsed="false">
      <c r="A16" s="7" t="s">
        <v>513</v>
      </c>
      <c r="B16" s="12" t="s">
        <v>120</v>
      </c>
      <c r="C16" s="12" t="s">
        <v>501</v>
      </c>
      <c r="D16" s="12" t="s">
        <v>502</v>
      </c>
      <c r="E16" s="12" t="n">
        <v>30</v>
      </c>
      <c r="F16" s="12"/>
      <c r="G16" s="13" t="str">
        <f aca="false">IF(F16="","",IF(F16=C16,10,IF(F16=D16,5,0)))</f>
        <v/>
      </c>
      <c r="H16" s="13" t="str">
        <f aca="false">IF(F16="","",IF(F16="Do",E16,IF(F16="Delegate",$B$5,IF(F16="Escalate",$C$5,$D$5))))</f>
        <v/>
      </c>
      <c r="I16" s="13" t="n">
        <f aca="false">IF(AND(B16="Risk",F16="Defer"),-10,0)</f>
        <v>0</v>
      </c>
      <c r="J16" s="12"/>
      <c r="K16" s="13" t="str">
        <f aca="false">IF(J16="","",IF(J16=C16,10,IF(J16=D16,5,0)))</f>
        <v/>
      </c>
      <c r="L16" s="13" t="str">
        <f aca="false">IF(J16="","",IF(J16="Do",E16,IF(J16="Delegate",$B$5,IF(J16="Escalate",$C$5,$D$5))))</f>
        <v/>
      </c>
      <c r="M16" s="13" t="n">
        <f aca="false">IF(AND(B16="Risk",J16="Defer"),-10,0)</f>
        <v>0</v>
      </c>
      <c r="N16" s="12"/>
      <c r="O16" s="13" t="str">
        <f aca="false">IF(N16="","",IF(N16=C16,10,IF(N16=D16,5,0)))</f>
        <v/>
      </c>
      <c r="P16" s="13" t="str">
        <f aca="false">IF(N16="","",IF(N16="Do",E16,IF(N16="Delegate",$B$5,IF(N16="Escalate",$C$5,$D$5))))</f>
        <v/>
      </c>
      <c r="Q16" s="13" t="n">
        <f aca="false">IF(AND(B16="Risk",N16="Defer"),-10,0)</f>
        <v>0</v>
      </c>
      <c r="R16" s="12"/>
      <c r="S16" s="13" t="str">
        <f aca="false">IF(R16="","",IF(R16=C16,10,IF(R16=D16,5,0)))</f>
        <v/>
      </c>
      <c r="T16" s="13" t="str">
        <f aca="false">IF(R16="","",IF(R16="Do",E16,IF(R16="Delegate",$B$5,IF(R16="Escalate",$C$5,$D$5))))</f>
        <v/>
      </c>
      <c r="U16" s="13" t="n">
        <f aca="false">IF(AND(B16="Risk",R16="Defer"),-10,0)</f>
        <v>0</v>
      </c>
    </row>
    <row r="17" customFormat="false" ht="15" hidden="false" customHeight="false" outlineLevel="0" collapsed="false">
      <c r="A17" s="7" t="s">
        <v>514</v>
      </c>
      <c r="B17" s="12" t="s">
        <v>119</v>
      </c>
      <c r="C17" s="12" t="s">
        <v>501</v>
      </c>
      <c r="D17" s="12" t="s">
        <v>502</v>
      </c>
      <c r="E17" s="12" t="n">
        <v>45</v>
      </c>
      <c r="F17" s="12"/>
      <c r="G17" s="13" t="str">
        <f aca="false">IF(F17="","",IF(F17=C17,10,IF(F17=D17,5,0)))</f>
        <v/>
      </c>
      <c r="H17" s="13" t="str">
        <f aca="false">IF(F17="","",IF(F17="Do",E17,IF(F17="Delegate",$B$5,IF(F17="Escalate",$C$5,$D$5))))</f>
        <v/>
      </c>
      <c r="I17" s="13" t="n">
        <f aca="false">IF(AND(B17="Risk",F17="Defer"),-10,0)</f>
        <v>0</v>
      </c>
      <c r="J17" s="12"/>
      <c r="K17" s="13" t="str">
        <f aca="false">IF(J17="","",IF(J17=C17,10,IF(J17=D17,5,0)))</f>
        <v/>
      </c>
      <c r="L17" s="13" t="str">
        <f aca="false">IF(J17="","",IF(J17="Do",E17,IF(J17="Delegate",$B$5,IF(J17="Escalate",$C$5,$D$5))))</f>
        <v/>
      </c>
      <c r="M17" s="13" t="n">
        <f aca="false">IF(AND(B17="Risk",J17="Defer"),-10,0)</f>
        <v>0</v>
      </c>
      <c r="N17" s="12"/>
      <c r="O17" s="13" t="str">
        <f aca="false">IF(N17="","",IF(N17=C17,10,IF(N17=D17,5,0)))</f>
        <v/>
      </c>
      <c r="P17" s="13" t="str">
        <f aca="false">IF(N17="","",IF(N17="Do",E17,IF(N17="Delegate",$B$5,IF(N17="Escalate",$C$5,$D$5))))</f>
        <v/>
      </c>
      <c r="Q17" s="13" t="n">
        <f aca="false">IF(AND(B17="Risk",N17="Defer"),-10,0)</f>
        <v>0</v>
      </c>
      <c r="R17" s="12"/>
      <c r="S17" s="13" t="str">
        <f aca="false">IF(R17="","",IF(R17=C17,10,IF(R17=D17,5,0)))</f>
        <v/>
      </c>
      <c r="T17" s="13" t="str">
        <f aca="false">IF(R17="","",IF(R17="Do",E17,IF(R17="Delegate",$B$5,IF(R17="Escalate",$C$5,$D$5))))</f>
        <v/>
      </c>
      <c r="U17" s="13" t="n">
        <f aca="false">IF(AND(B17="Risk",R17="Defer"),-10,0)</f>
        <v>0</v>
      </c>
    </row>
    <row r="18" customFormat="false" ht="15" hidden="false" customHeight="false" outlineLevel="0" collapsed="false">
      <c r="A18" s="7" t="s">
        <v>515</v>
      </c>
      <c r="B18" s="12" t="s">
        <v>103</v>
      </c>
      <c r="C18" s="12" t="s">
        <v>502</v>
      </c>
      <c r="D18" s="12" t="s">
        <v>505</v>
      </c>
      <c r="E18" s="12" t="n">
        <v>20</v>
      </c>
      <c r="F18" s="12"/>
      <c r="G18" s="13" t="str">
        <f aca="false">IF(F18="","",IF(F18=C18,10,IF(F18=D18,5,0)))</f>
        <v/>
      </c>
      <c r="H18" s="13" t="str">
        <f aca="false">IF(F18="","",IF(F18="Do",E18,IF(F18="Delegate",$B$5,IF(F18="Escalate",$C$5,$D$5))))</f>
        <v/>
      </c>
      <c r="I18" s="13" t="n">
        <f aca="false">IF(AND(B18="Risk",F18="Defer"),-10,0)</f>
        <v>0</v>
      </c>
      <c r="J18" s="12"/>
      <c r="K18" s="13" t="str">
        <f aca="false">IF(J18="","",IF(J18=C18,10,IF(J18=D18,5,0)))</f>
        <v/>
      </c>
      <c r="L18" s="13" t="str">
        <f aca="false">IF(J18="","",IF(J18="Do",E18,IF(J18="Delegate",$B$5,IF(J18="Escalate",$C$5,$D$5))))</f>
        <v/>
      </c>
      <c r="M18" s="13" t="n">
        <f aca="false">IF(AND(B18="Risk",J18="Defer"),-10,0)</f>
        <v>0</v>
      </c>
      <c r="N18" s="12"/>
      <c r="O18" s="13" t="str">
        <f aca="false">IF(N18="","",IF(N18=C18,10,IF(N18=D18,5,0)))</f>
        <v/>
      </c>
      <c r="P18" s="13" t="str">
        <f aca="false">IF(N18="","",IF(N18="Do",E18,IF(N18="Delegate",$B$5,IF(N18="Escalate",$C$5,$D$5))))</f>
        <v/>
      </c>
      <c r="Q18" s="13" t="n">
        <f aca="false">IF(AND(B18="Risk",N18="Defer"),-10,0)</f>
        <v>0</v>
      </c>
      <c r="R18" s="12"/>
      <c r="S18" s="13" t="str">
        <f aca="false">IF(R18="","",IF(R18=C18,10,IF(R18=D18,5,0)))</f>
        <v/>
      </c>
      <c r="T18" s="13" t="str">
        <f aca="false">IF(R18="","",IF(R18="Do",E18,IF(R18="Delegate",$B$5,IF(R18="Escalate",$C$5,$D$5))))</f>
        <v/>
      </c>
      <c r="U18" s="13" t="n">
        <f aca="false">IF(AND(B18="Risk",R18="Defer"),-10,0)</f>
        <v>0</v>
      </c>
    </row>
    <row r="19" customFormat="false" ht="15" hidden="false" customHeight="false" outlineLevel="0" collapsed="false">
      <c r="A19" s="7" t="s">
        <v>516</v>
      </c>
      <c r="B19" s="12" t="s">
        <v>103</v>
      </c>
      <c r="C19" s="12" t="s">
        <v>505</v>
      </c>
      <c r="D19" s="12" t="s">
        <v>502</v>
      </c>
      <c r="E19" s="12" t="n">
        <v>60</v>
      </c>
      <c r="F19" s="12"/>
      <c r="G19" s="13" t="str">
        <f aca="false">IF(F19="","",IF(F19=C19,10,IF(F19=D19,5,0)))</f>
        <v/>
      </c>
      <c r="H19" s="13" t="str">
        <f aca="false">IF(F19="","",IF(F19="Do",E19,IF(F19="Delegate",$B$5,IF(F19="Escalate",$C$5,$D$5))))</f>
        <v/>
      </c>
      <c r="I19" s="13" t="n">
        <f aca="false">IF(AND(B19="Risk",F19="Defer"),-10,0)</f>
        <v>0</v>
      </c>
      <c r="J19" s="12"/>
      <c r="K19" s="13" t="str">
        <f aca="false">IF(J19="","",IF(J19=C19,10,IF(J19=D19,5,0)))</f>
        <v/>
      </c>
      <c r="L19" s="13" t="str">
        <f aca="false">IF(J19="","",IF(J19="Do",E19,IF(J19="Delegate",$B$5,IF(J19="Escalate",$C$5,$D$5))))</f>
        <v/>
      </c>
      <c r="M19" s="13" t="n">
        <f aca="false">IF(AND(B19="Risk",J19="Defer"),-10,0)</f>
        <v>0</v>
      </c>
      <c r="N19" s="12"/>
      <c r="O19" s="13" t="str">
        <f aca="false">IF(N19="","",IF(N19=C19,10,IF(N19=D19,5,0)))</f>
        <v/>
      </c>
      <c r="P19" s="13" t="str">
        <f aca="false">IF(N19="","",IF(N19="Do",E19,IF(N19="Delegate",$B$5,IF(N19="Escalate",$C$5,$D$5))))</f>
        <v/>
      </c>
      <c r="Q19" s="13" t="n">
        <f aca="false">IF(AND(B19="Risk",N19="Defer"),-10,0)</f>
        <v>0</v>
      </c>
      <c r="R19" s="12"/>
      <c r="S19" s="13" t="str">
        <f aca="false">IF(R19="","",IF(R19=C19,10,IF(R19=D19,5,0)))</f>
        <v/>
      </c>
      <c r="T19" s="13" t="str">
        <f aca="false">IF(R19="","",IF(R19="Do",E19,IF(R19="Delegate",$B$5,IF(R19="Escalate",$C$5,$D$5))))</f>
        <v/>
      </c>
      <c r="U19" s="13" t="n">
        <f aca="false">IF(AND(B19="Risk",R19="Defer"),-10,0)</f>
        <v>0</v>
      </c>
    </row>
    <row r="20" customFormat="false" ht="15" hidden="false" customHeight="false" outlineLevel="0" collapsed="false">
      <c r="A20" s="7" t="s">
        <v>517</v>
      </c>
      <c r="B20" s="12" t="s">
        <v>117</v>
      </c>
      <c r="C20" s="12" t="s">
        <v>502</v>
      </c>
      <c r="D20" s="12" t="s">
        <v>501</v>
      </c>
      <c r="E20" s="12" t="n">
        <v>45</v>
      </c>
      <c r="F20" s="12"/>
      <c r="G20" s="13" t="str">
        <f aca="false">IF(F20="","",IF(F20=C20,10,IF(F20=D20,5,0)))</f>
        <v/>
      </c>
      <c r="H20" s="13" t="str">
        <f aca="false">IF(F20="","",IF(F20="Do",E20,IF(F20="Delegate",$B$5,IF(F20="Escalate",$C$5,$D$5))))</f>
        <v/>
      </c>
      <c r="I20" s="13" t="n">
        <f aca="false">IF(AND(B20="Risk",F20="Defer"),-10,0)</f>
        <v>0</v>
      </c>
      <c r="J20" s="12"/>
      <c r="K20" s="13" t="str">
        <f aca="false">IF(J20="","",IF(J20=C20,10,IF(J20=D20,5,0)))</f>
        <v/>
      </c>
      <c r="L20" s="13" t="str">
        <f aca="false">IF(J20="","",IF(J20="Do",E20,IF(J20="Delegate",$B$5,IF(J20="Escalate",$C$5,$D$5))))</f>
        <v/>
      </c>
      <c r="M20" s="13" t="n">
        <f aca="false">IF(AND(B20="Risk",J20="Defer"),-10,0)</f>
        <v>0</v>
      </c>
      <c r="N20" s="12"/>
      <c r="O20" s="13" t="str">
        <f aca="false">IF(N20="","",IF(N20=C20,10,IF(N20=D20,5,0)))</f>
        <v/>
      </c>
      <c r="P20" s="13" t="str">
        <f aca="false">IF(N20="","",IF(N20="Do",E20,IF(N20="Delegate",$B$5,IF(N20="Escalate",$C$5,$D$5))))</f>
        <v/>
      </c>
      <c r="Q20" s="13" t="n">
        <f aca="false">IF(AND(B20="Risk",N20="Defer"),-10,0)</f>
        <v>0</v>
      </c>
      <c r="R20" s="12"/>
      <c r="S20" s="13" t="str">
        <f aca="false">IF(R20="","",IF(R20=C20,10,IF(R20=D20,5,0)))</f>
        <v/>
      </c>
      <c r="T20" s="13" t="str">
        <f aca="false">IF(R20="","",IF(R20="Do",E20,IF(R20="Delegate",$B$5,IF(R20="Escalate",$C$5,$D$5))))</f>
        <v/>
      </c>
      <c r="U20" s="13" t="n">
        <f aca="false">IF(AND(B20="Risk",R20="Defer"),-10,0)</f>
        <v>0</v>
      </c>
    </row>
    <row r="21" customFormat="false" ht="15" hidden="false" customHeight="false" outlineLevel="0" collapsed="false">
      <c r="A21" s="7" t="s">
        <v>518</v>
      </c>
      <c r="B21" s="12" t="s">
        <v>103</v>
      </c>
      <c r="C21" s="12" t="s">
        <v>505</v>
      </c>
      <c r="D21" s="12" t="s">
        <v>502</v>
      </c>
      <c r="E21" s="12" t="n">
        <v>30</v>
      </c>
      <c r="F21" s="12"/>
      <c r="G21" s="13" t="str">
        <f aca="false">IF(F21="","",IF(F21=C21,10,IF(F21=D21,5,0)))</f>
        <v/>
      </c>
      <c r="H21" s="13" t="str">
        <f aca="false">IF(F21="","",IF(F21="Do",E21,IF(F21="Delegate",$B$5,IF(F21="Escalate",$C$5,$D$5))))</f>
        <v/>
      </c>
      <c r="I21" s="13" t="n">
        <f aca="false">IF(AND(B21="Risk",F21="Defer"),-10,0)</f>
        <v>0</v>
      </c>
      <c r="J21" s="12"/>
      <c r="K21" s="13" t="str">
        <f aca="false">IF(J21="","",IF(J21=C21,10,IF(J21=D21,5,0)))</f>
        <v/>
      </c>
      <c r="L21" s="13" t="str">
        <f aca="false">IF(J21="","",IF(J21="Do",E21,IF(J21="Delegate",$B$5,IF(J21="Escalate",$C$5,$D$5))))</f>
        <v/>
      </c>
      <c r="M21" s="13" t="n">
        <f aca="false">IF(AND(B21="Risk",J21="Defer"),-10,0)</f>
        <v>0</v>
      </c>
      <c r="N21" s="12"/>
      <c r="O21" s="13" t="str">
        <f aca="false">IF(N21="","",IF(N21=C21,10,IF(N21=D21,5,0)))</f>
        <v/>
      </c>
      <c r="P21" s="13" t="str">
        <f aca="false">IF(N21="","",IF(N21="Do",E21,IF(N21="Delegate",$B$5,IF(N21="Escalate",$C$5,$D$5))))</f>
        <v/>
      </c>
      <c r="Q21" s="13" t="n">
        <f aca="false">IF(AND(B21="Risk",N21="Defer"),-10,0)</f>
        <v>0</v>
      </c>
      <c r="R21" s="12"/>
      <c r="S21" s="13" t="str">
        <f aca="false">IF(R21="","",IF(R21=C21,10,IF(R21=D21,5,0)))</f>
        <v/>
      </c>
      <c r="T21" s="13" t="str">
        <f aca="false">IF(R21="","",IF(R21="Do",E21,IF(R21="Delegate",$B$5,IF(R21="Escalate",$C$5,$D$5))))</f>
        <v/>
      </c>
      <c r="U21" s="13" t="n">
        <f aca="false">IF(AND(B21="Risk",R21="Defer"),-10,0)</f>
        <v>0</v>
      </c>
    </row>
    <row r="22" customFormat="false" ht="15" hidden="false" customHeight="false" outlineLevel="0" collapsed="false">
      <c r="A22" s="7" t="s">
        <v>519</v>
      </c>
      <c r="B22" s="12" t="s">
        <v>120</v>
      </c>
      <c r="C22" s="12" t="s">
        <v>501</v>
      </c>
      <c r="D22" s="12" t="s">
        <v>504</v>
      </c>
      <c r="E22" s="12" t="n">
        <v>45</v>
      </c>
      <c r="F22" s="12"/>
      <c r="G22" s="13" t="str">
        <f aca="false">IF(F22="","",IF(F22=C22,10,IF(F22=D22,5,0)))</f>
        <v/>
      </c>
      <c r="H22" s="13" t="str">
        <f aca="false">IF(F22="","",IF(F22="Do",E22,IF(F22="Delegate",$B$5,IF(F22="Escalate",$C$5,$D$5))))</f>
        <v/>
      </c>
      <c r="I22" s="13" t="n">
        <f aca="false">IF(AND(B22="Risk",F22="Defer"),-10,0)</f>
        <v>0</v>
      </c>
      <c r="J22" s="12"/>
      <c r="K22" s="13" t="str">
        <f aca="false">IF(J22="","",IF(J22=C22,10,IF(J22=D22,5,0)))</f>
        <v/>
      </c>
      <c r="L22" s="13" t="str">
        <f aca="false">IF(J22="","",IF(J22="Do",E22,IF(J22="Delegate",$B$5,IF(J22="Escalate",$C$5,$D$5))))</f>
        <v/>
      </c>
      <c r="M22" s="13" t="n">
        <f aca="false">IF(AND(B22="Risk",J22="Defer"),-10,0)</f>
        <v>0</v>
      </c>
      <c r="N22" s="12"/>
      <c r="O22" s="13" t="str">
        <f aca="false">IF(N22="","",IF(N22=C22,10,IF(N22=D22,5,0)))</f>
        <v/>
      </c>
      <c r="P22" s="13" t="str">
        <f aca="false">IF(N22="","",IF(N22="Do",E22,IF(N22="Delegate",$B$5,IF(N22="Escalate",$C$5,$D$5))))</f>
        <v/>
      </c>
      <c r="Q22" s="13" t="n">
        <f aca="false">IF(AND(B22="Risk",N22="Defer"),-10,0)</f>
        <v>0</v>
      </c>
      <c r="R22" s="12"/>
      <c r="S22" s="13" t="str">
        <f aca="false">IF(R22="","",IF(R22=C22,10,IF(R22=D22,5,0)))</f>
        <v/>
      </c>
      <c r="T22" s="13" t="str">
        <f aca="false">IF(R22="","",IF(R22="Do",E22,IF(R22="Delegate",$B$5,IF(R22="Escalate",$C$5,$D$5))))</f>
        <v/>
      </c>
      <c r="U22" s="13" t="n">
        <f aca="false">IF(AND(B22="Risk",R22="Defer"),-10,0)</f>
        <v>0</v>
      </c>
    </row>
    <row r="23" customFormat="false" ht="15" hidden="false" customHeight="false" outlineLevel="0" collapsed="false">
      <c r="A23" s="7" t="s">
        <v>520</v>
      </c>
      <c r="B23" s="12" t="s">
        <v>117</v>
      </c>
      <c r="C23" s="12" t="s">
        <v>501</v>
      </c>
      <c r="D23" s="12" t="s">
        <v>502</v>
      </c>
      <c r="E23" s="12" t="n">
        <v>60</v>
      </c>
      <c r="F23" s="12"/>
      <c r="G23" s="13" t="str">
        <f aca="false">IF(F23="","",IF(F23=C23,10,IF(F23=D23,5,0)))</f>
        <v/>
      </c>
      <c r="H23" s="13" t="str">
        <f aca="false">IF(F23="","",IF(F23="Do",E23,IF(F23="Delegate",$B$5,IF(F23="Escalate",$C$5,$D$5))))</f>
        <v/>
      </c>
      <c r="I23" s="13" t="n">
        <f aca="false">IF(AND(B23="Risk",F23="Defer"),-10,0)</f>
        <v>0</v>
      </c>
      <c r="J23" s="12"/>
      <c r="K23" s="13" t="str">
        <f aca="false">IF(J23="","",IF(J23=C23,10,IF(J23=D23,5,0)))</f>
        <v/>
      </c>
      <c r="L23" s="13" t="str">
        <f aca="false">IF(J23="","",IF(J23="Do",E23,IF(J23="Delegate",$B$5,IF(J23="Escalate",$C$5,$D$5))))</f>
        <v/>
      </c>
      <c r="M23" s="13" t="n">
        <f aca="false">IF(AND(B23="Risk",J23="Defer"),-10,0)</f>
        <v>0</v>
      </c>
      <c r="N23" s="12"/>
      <c r="O23" s="13" t="str">
        <f aca="false">IF(N23="","",IF(N23=C23,10,IF(N23=D23,5,0)))</f>
        <v/>
      </c>
      <c r="P23" s="13" t="str">
        <f aca="false">IF(N23="","",IF(N23="Do",E23,IF(N23="Delegate",$B$5,IF(N23="Escalate",$C$5,$D$5))))</f>
        <v/>
      </c>
      <c r="Q23" s="13" t="n">
        <f aca="false">IF(AND(B23="Risk",N23="Defer"),-10,0)</f>
        <v>0</v>
      </c>
      <c r="R23" s="12"/>
      <c r="S23" s="13" t="str">
        <f aca="false">IF(R23="","",IF(R23=C23,10,IF(R23=D23,5,0)))</f>
        <v/>
      </c>
      <c r="T23" s="13" t="str">
        <f aca="false">IF(R23="","",IF(R23="Do",E23,IF(R23="Delegate",$B$5,IF(R23="Escalate",$C$5,$D$5))))</f>
        <v/>
      </c>
      <c r="U23" s="13" t="n">
        <f aca="false">IF(AND(B23="Risk",R23="Defer"),-10,0)</f>
        <v>0</v>
      </c>
    </row>
    <row r="24" customFormat="false" ht="15" hidden="false" customHeight="false" outlineLevel="0" collapsed="false">
      <c r="A24" s="7" t="s">
        <v>521</v>
      </c>
      <c r="B24" s="12" t="s">
        <v>118</v>
      </c>
      <c r="C24" s="12" t="s">
        <v>504</v>
      </c>
      <c r="D24" s="12" t="s">
        <v>501</v>
      </c>
      <c r="E24" s="12" t="n">
        <v>30</v>
      </c>
      <c r="F24" s="12"/>
      <c r="G24" s="13" t="str">
        <f aca="false">IF(F24="","",IF(F24=C24,10,IF(F24=D24,5,0)))</f>
        <v/>
      </c>
      <c r="H24" s="13" t="str">
        <f aca="false">IF(F24="","",IF(F24="Do",E24,IF(F24="Delegate",$B$5,IF(F24="Escalate",$C$5,$D$5))))</f>
        <v/>
      </c>
      <c r="I24" s="13" t="n">
        <f aca="false">IF(AND(B24="Risk",F24="Defer"),-10,0)</f>
        <v>0</v>
      </c>
      <c r="J24" s="12"/>
      <c r="K24" s="13" t="str">
        <f aca="false">IF(J24="","",IF(J24=C24,10,IF(J24=D24,5,0)))</f>
        <v/>
      </c>
      <c r="L24" s="13" t="str">
        <f aca="false">IF(J24="","",IF(J24="Do",E24,IF(J24="Delegate",$B$5,IF(J24="Escalate",$C$5,$D$5))))</f>
        <v/>
      </c>
      <c r="M24" s="13" t="n">
        <f aca="false">IF(AND(B24="Risk",J24="Defer"),-10,0)</f>
        <v>0</v>
      </c>
      <c r="N24" s="12"/>
      <c r="O24" s="13" t="str">
        <f aca="false">IF(N24="","",IF(N24=C24,10,IF(N24=D24,5,0)))</f>
        <v/>
      </c>
      <c r="P24" s="13" t="str">
        <f aca="false">IF(N24="","",IF(N24="Do",E24,IF(N24="Delegate",$B$5,IF(N24="Escalate",$C$5,$D$5))))</f>
        <v/>
      </c>
      <c r="Q24" s="13" t="n">
        <f aca="false">IF(AND(B24="Risk",N24="Defer"),-10,0)</f>
        <v>0</v>
      </c>
      <c r="R24" s="12"/>
      <c r="S24" s="13" t="str">
        <f aca="false">IF(R24="","",IF(R24=C24,10,IF(R24=D24,5,0)))</f>
        <v/>
      </c>
      <c r="T24" s="13" t="str">
        <f aca="false">IF(R24="","",IF(R24="Do",E24,IF(R24="Delegate",$B$5,IF(R24="Escalate",$C$5,$D$5))))</f>
        <v/>
      </c>
      <c r="U24" s="13" t="n">
        <f aca="false">IF(AND(B24="Risk",R24="Defer"),-10,0)</f>
        <v>0</v>
      </c>
    </row>
    <row r="25" customFormat="false" ht="15" hidden="false" customHeight="false" outlineLevel="0" collapsed="false">
      <c r="A25" s="7" t="s">
        <v>522</v>
      </c>
      <c r="B25" s="12" t="s">
        <v>118</v>
      </c>
      <c r="C25" s="12" t="s">
        <v>504</v>
      </c>
      <c r="D25" s="12" t="s">
        <v>502</v>
      </c>
      <c r="E25" s="12" t="n">
        <v>20</v>
      </c>
      <c r="F25" s="12"/>
      <c r="G25" s="13" t="str">
        <f aca="false">IF(F25="","",IF(F25=C25,10,IF(F25=D25,5,0)))</f>
        <v/>
      </c>
      <c r="H25" s="13" t="str">
        <f aca="false">IF(F25="","",IF(F25="Do",E25,IF(F25="Delegate",$B$5,IF(F25="Escalate",$C$5,$D$5))))</f>
        <v/>
      </c>
      <c r="I25" s="13" t="n">
        <f aca="false">IF(AND(B25="Risk",F25="Defer"),-10,0)</f>
        <v>0</v>
      </c>
      <c r="J25" s="12"/>
      <c r="K25" s="13" t="str">
        <f aca="false">IF(J25="","",IF(J25=C25,10,IF(J25=D25,5,0)))</f>
        <v/>
      </c>
      <c r="L25" s="13" t="str">
        <f aca="false">IF(J25="","",IF(J25="Do",E25,IF(J25="Delegate",$B$5,IF(J25="Escalate",$C$5,$D$5))))</f>
        <v/>
      </c>
      <c r="M25" s="13" t="n">
        <f aca="false">IF(AND(B25="Risk",J25="Defer"),-10,0)</f>
        <v>0</v>
      </c>
      <c r="N25" s="12"/>
      <c r="O25" s="13" t="str">
        <f aca="false">IF(N25="","",IF(N25=C25,10,IF(N25=D25,5,0)))</f>
        <v/>
      </c>
      <c r="P25" s="13" t="str">
        <f aca="false">IF(N25="","",IF(N25="Do",E25,IF(N25="Delegate",$B$5,IF(N25="Escalate",$C$5,$D$5))))</f>
        <v/>
      </c>
      <c r="Q25" s="13" t="n">
        <f aca="false">IF(AND(B25="Risk",N25="Defer"),-10,0)</f>
        <v>0</v>
      </c>
      <c r="R25" s="12"/>
      <c r="S25" s="13" t="str">
        <f aca="false">IF(R25="","",IF(R25=C25,10,IF(R25=D25,5,0)))</f>
        <v/>
      </c>
      <c r="T25" s="13" t="str">
        <f aca="false">IF(R25="","",IF(R25="Do",E25,IF(R25="Delegate",$B$5,IF(R25="Escalate",$C$5,$D$5))))</f>
        <v/>
      </c>
      <c r="U25" s="13" t="n">
        <f aca="false">IF(AND(B25="Risk",R25="Defer"),-10,0)</f>
        <v>0</v>
      </c>
    </row>
    <row r="26" customFormat="false" ht="15" hidden="false" customHeight="false" outlineLevel="0" collapsed="false">
      <c r="A26" s="7" t="s">
        <v>523</v>
      </c>
      <c r="B26" s="12" t="s">
        <v>120</v>
      </c>
      <c r="C26" s="12" t="s">
        <v>501</v>
      </c>
      <c r="D26" s="12" t="s">
        <v>505</v>
      </c>
      <c r="E26" s="12" t="n">
        <v>30</v>
      </c>
      <c r="F26" s="12"/>
      <c r="G26" s="13" t="str">
        <f aca="false">IF(F26="","",IF(F26=C26,10,IF(F26=D26,5,0)))</f>
        <v/>
      </c>
      <c r="H26" s="13" t="str">
        <f aca="false">IF(F26="","",IF(F26="Do",E26,IF(F26="Delegate",$B$5,IF(F26="Escalate",$C$5,$D$5))))</f>
        <v/>
      </c>
      <c r="I26" s="13" t="n">
        <f aca="false">IF(AND(B26="Risk",F26="Defer"),-10,0)</f>
        <v>0</v>
      </c>
      <c r="J26" s="12"/>
      <c r="K26" s="13" t="str">
        <f aca="false">IF(J26="","",IF(J26=C26,10,IF(J26=D26,5,0)))</f>
        <v/>
      </c>
      <c r="L26" s="13" t="str">
        <f aca="false">IF(J26="","",IF(J26="Do",E26,IF(J26="Delegate",$B$5,IF(J26="Escalate",$C$5,$D$5))))</f>
        <v/>
      </c>
      <c r="M26" s="13" t="n">
        <f aca="false">IF(AND(B26="Risk",J26="Defer"),-10,0)</f>
        <v>0</v>
      </c>
      <c r="N26" s="12"/>
      <c r="O26" s="13" t="str">
        <f aca="false">IF(N26="","",IF(N26=C26,10,IF(N26=D26,5,0)))</f>
        <v/>
      </c>
      <c r="P26" s="13" t="str">
        <f aca="false">IF(N26="","",IF(N26="Do",E26,IF(N26="Delegate",$B$5,IF(N26="Escalate",$C$5,$D$5))))</f>
        <v/>
      </c>
      <c r="Q26" s="13" t="n">
        <f aca="false">IF(AND(B26="Risk",N26="Defer"),-10,0)</f>
        <v>0</v>
      </c>
      <c r="R26" s="12"/>
      <c r="S26" s="13" t="str">
        <f aca="false">IF(R26="","",IF(R26=C26,10,IF(R26=D26,5,0)))</f>
        <v/>
      </c>
      <c r="T26" s="13" t="str">
        <f aca="false">IF(R26="","",IF(R26="Do",E26,IF(R26="Delegate",$B$5,IF(R26="Escalate",$C$5,$D$5))))</f>
        <v/>
      </c>
      <c r="U26" s="13" t="n">
        <f aca="false">IF(AND(B26="Risk",R26="Defer"),-10,0)</f>
        <v>0</v>
      </c>
    </row>
    <row r="28" customFormat="false" ht="30" hidden="false" customHeight="true" outlineLevel="0" collapsed="false">
      <c r="A28" s="41" t="s">
        <v>524</v>
      </c>
      <c r="B28" s="41"/>
      <c r="C28" s="41"/>
      <c r="D28" s="41"/>
      <c r="E28" s="41"/>
      <c r="F28" s="42" t="s">
        <v>525</v>
      </c>
      <c r="J28" s="42" t="s">
        <v>526</v>
      </c>
      <c r="N28" s="42" t="s">
        <v>527</v>
      </c>
      <c r="R28" s="42" t="s">
        <v>528</v>
      </c>
    </row>
    <row r="29" customFormat="false" ht="15" hidden="false" customHeight="false" outlineLevel="0" collapsed="false">
      <c r="A29" s="11" t="s">
        <v>117</v>
      </c>
      <c r="F29" s="13" t="n">
        <f aca="false">SUMIFS(G7:G26,$B$7:$B$26,"Business")</f>
        <v>10</v>
      </c>
      <c r="J29" s="13" t="n">
        <f aca="false">SUMIFS(K7:K26,$B$7:$B$26,"Business")</f>
        <v>10</v>
      </c>
      <c r="N29" s="13" t="n">
        <f aca="false">SUMIFS(O7:O26,$B$7:$B$26,"Business")</f>
        <v>0</v>
      </c>
      <c r="R29" s="13" t="n">
        <f aca="false">SUMIFS(S7:S26,$B$7:$B$26,"Business")</f>
        <v>0</v>
      </c>
    </row>
    <row r="30" customFormat="false" ht="15" hidden="false" customHeight="false" outlineLevel="0" collapsed="false">
      <c r="A30" s="11" t="s">
        <v>118</v>
      </c>
      <c r="F30" s="13" t="n">
        <f aca="false">SUMIFS(G7:G26,$B$7:$B$26,"Customer")</f>
        <v>10</v>
      </c>
      <c r="J30" s="13" t="n">
        <f aca="false">SUMIFS(K7:K26,$B$7:$B$26,"Customer")</f>
        <v>10</v>
      </c>
      <c r="N30" s="13" t="n">
        <f aca="false">SUMIFS(O7:O26,$B$7:$B$26,"Customer")</f>
        <v>0</v>
      </c>
      <c r="R30" s="13" t="n">
        <f aca="false">SUMIFS(S7:S26,$B$7:$B$26,"Customer")</f>
        <v>0</v>
      </c>
    </row>
    <row r="31" customFormat="false" ht="15" hidden="false" customHeight="false" outlineLevel="0" collapsed="false">
      <c r="A31" s="11" t="s">
        <v>119</v>
      </c>
      <c r="F31" s="13" t="n">
        <f aca="false">SUMIFS(G7:G26,$B$7:$B$26,"Risk")</f>
        <v>20</v>
      </c>
      <c r="J31" s="13" t="n">
        <f aca="false">SUMIFS(K7:K26,$B$7:$B$26,"Risk")</f>
        <v>5</v>
      </c>
      <c r="N31" s="13" t="n">
        <f aca="false">SUMIFS(O7:O26,$B$7:$B$26,"Risk")</f>
        <v>0</v>
      </c>
      <c r="R31" s="13" t="n">
        <f aca="false">SUMIFS(S7:S26,$B$7:$B$26,"Risk")</f>
        <v>0</v>
      </c>
    </row>
    <row r="32" customFormat="false" ht="15" hidden="false" customHeight="false" outlineLevel="0" collapsed="false">
      <c r="A32" s="11" t="s">
        <v>120</v>
      </c>
      <c r="F32" s="13" t="n">
        <f aca="false">SUMIFS(G7:G26,$B$7:$B$26,"People")</f>
        <v>10</v>
      </c>
      <c r="J32" s="13" t="n">
        <f aca="false">SUMIFS(K7:K26,$B$7:$B$26,"People")</f>
        <v>5</v>
      </c>
      <c r="N32" s="13" t="n">
        <f aca="false">SUMIFS(O7:O26,$B$7:$B$26,"People")</f>
        <v>0</v>
      </c>
      <c r="R32" s="13" t="n">
        <f aca="false">SUMIFS(S7:S26,$B$7:$B$26,"People")</f>
        <v>0</v>
      </c>
    </row>
    <row r="33" customFormat="false" ht="15" hidden="false" customHeight="false" outlineLevel="0" collapsed="false">
      <c r="A33" s="11" t="s">
        <v>103</v>
      </c>
      <c r="F33" s="13" t="n">
        <f aca="false">SUMIFS(G7:G26,$B$7:$B$26,"Execution")</f>
        <v>0</v>
      </c>
      <c r="J33" s="13" t="n">
        <f aca="false">SUMIFS(K7:K26,$B$7:$B$26,"Execution")</f>
        <v>0</v>
      </c>
      <c r="N33" s="13" t="n">
        <f aca="false">SUMIFS(O7:O26,$B$7:$B$26,"Execution")</f>
        <v>0</v>
      </c>
      <c r="R33" s="13" t="n">
        <f aca="false">SUMIFS(S7:S26,$B$7:$B$26,"Execution")</f>
        <v>0</v>
      </c>
    </row>
    <row r="34" customFormat="false" ht="15" hidden="false" customHeight="false" outlineLevel="0" collapsed="false">
      <c r="A34" s="11" t="s">
        <v>529</v>
      </c>
      <c r="F34" s="13" t="n">
        <f aca="false">SUM(H7:H26)</f>
        <v>160</v>
      </c>
      <c r="J34" s="13" t="n">
        <f aca="false">SUM(L7:L26)</f>
        <v>120</v>
      </c>
      <c r="N34" s="13" t="n">
        <f aca="false">SUM(P7:P26)</f>
        <v>0</v>
      </c>
      <c r="R34" s="13" t="n">
        <f aca="false">SUM(T7:T26)</f>
        <v>0</v>
      </c>
    </row>
    <row r="35" customFormat="false" ht="15" hidden="false" customHeight="false" outlineLevel="0" collapsed="false">
      <c r="A35" s="11" t="s">
        <v>530</v>
      </c>
      <c r="F35" s="13" t="n">
        <f aca="false">SUM(I7:I26)</f>
        <v>0</v>
      </c>
      <c r="J35" s="13" t="n">
        <f aca="false">SUM(M7:M26)</f>
        <v>-10</v>
      </c>
      <c r="N35" s="13" t="n">
        <f aca="false">SUM(Q7:Q26)</f>
        <v>0</v>
      </c>
      <c r="R35" s="13" t="n">
        <f aca="false">SUM(U7:U26)</f>
        <v>0</v>
      </c>
    </row>
    <row r="36" customFormat="false" ht="15" hidden="false" customHeight="false" outlineLevel="0" collapsed="false">
      <c r="A36" s="11" t="s">
        <v>531</v>
      </c>
      <c r="F36" s="13" t="n">
        <f aca="false">IF(F34&gt;480,-15,0)+IF(COUNTIF(F7:F26,"Escalate")+COUNTIF(F7:F26,"Defer")&gt;8,-10,0)</f>
        <v>0</v>
      </c>
      <c r="J36" s="13" t="n">
        <f aca="false">IF(J34&gt;480,-15,0)+IF(COUNTIF(J7:J26,"Escalate")+COUNTIF(J7:J26,"Defer")&gt;8,-10,0)</f>
        <v>0</v>
      </c>
      <c r="N36" s="13" t="n">
        <f aca="false">IF(N34&gt;480,-15,0)+IF(COUNTIF(N7:N26,"Escalate")+COUNTIF(N7:N26,"Defer")&gt;8,-10,0)</f>
        <v>0</v>
      </c>
      <c r="R36" s="13" t="n">
        <f aca="false">IF(R34&gt;480,-15,0)+IF(COUNTIF(R7:R26,"Escalate")+COUNTIF(R7:R26,"Defer")&gt;8,-10,0)</f>
        <v>0</v>
      </c>
    </row>
    <row r="37" customFormat="false" ht="15" hidden="false" customHeight="false" outlineLevel="0" collapsed="false">
      <c r="A37" s="11" t="s">
        <v>159</v>
      </c>
      <c r="F37" s="21" t="n">
        <f aca="false">SUM(F29:F33)+F35+F36</f>
        <v>50</v>
      </c>
      <c r="J37" s="21" t="n">
        <f aca="false">SUM(J29:J33)+J35+J36</f>
        <v>20</v>
      </c>
      <c r="N37" s="21" t="n">
        <f aca="false">SUM(N29:N33)+N35+N36</f>
        <v>0</v>
      </c>
      <c r="R37" s="21" t="n">
        <f aca="false">SUM(R29:R33)+R35+R36</f>
        <v>0</v>
      </c>
    </row>
    <row r="38" customFormat="false" ht="15" hidden="false" customHeight="false" outlineLevel="0" collapsed="false">
      <c r="A38" s="11" t="s">
        <v>532</v>
      </c>
      <c r="F38" s="29" t="n">
        <f aca="false">IFERROR(MIN(F29:F33)/MAX(F29:F33),0)</f>
        <v>0</v>
      </c>
      <c r="J38" s="29" t="n">
        <f aca="false">IFERROR(MIN(J29:J33)/MAX(J29:J33),0)</f>
        <v>0</v>
      </c>
      <c r="N38" s="29" t="n">
        <f aca="false">IFERROR(MIN(N29:N33)/MAX(N29:N33),0)</f>
        <v>0</v>
      </c>
      <c r="R38" s="29" t="n">
        <f aca="false">IFERROR(MIN(R29:R33)/MAX(R29:R33),0)</f>
        <v>0</v>
      </c>
    </row>
    <row r="40" customFormat="false" ht="15" hidden="false" customHeight="false" outlineLevel="0" collapsed="false">
      <c r="A40" s="22" t="s">
        <v>533</v>
      </c>
    </row>
  </sheetData>
  <dataValidations count="2">
    <dataValidation allowBlank="true" errorStyle="stop" operator="between" showDropDown="false" showErrorMessage="false" showInputMessage="false" sqref="F7:F26 J7:J26 N7:N26 R7:R26" type="list">
      <formula1>"Do,Delegate,Escalate,Defer"</formula1>
      <formula2>0</formula2>
    </dataValidation>
    <dataValidation allowBlank="true" errorStyle="stop" operator="between" showDropDown="false" showErrorMessage="false" showInputMessage="false" sqref="C7:D26" type="list">
      <formula1>"Do,Delegate,Escalate,Defer"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8" min="6" style="0" width="9"/>
    <col collapsed="false" customWidth="true" hidden="false" outlineLevel="0" max="24" min="9" style="0" width="6"/>
    <col collapsed="false" customWidth="true" hidden="false" outlineLevel="0" max="25" min="25" style="0" width="12"/>
  </cols>
  <sheetData>
    <row r="1" customFormat="false" ht="27.75" hidden="false" customHeight="true" outlineLevel="0" collapsed="false">
      <c r="A1" s="9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0" t="s">
        <v>53</v>
      </c>
    </row>
    <row r="3" customFormat="false" ht="15" hidden="false" customHeight="false" outlineLevel="0" collapsed="false">
      <c r="A3" s="4" t="s">
        <v>86</v>
      </c>
    </row>
    <row r="4" customFormat="false" ht="23.85" hidden="false" customHeight="false" outlineLevel="0" collapsed="false">
      <c r="A4" s="15" t="s">
        <v>534</v>
      </c>
      <c r="B4" s="14" t="n">
        <v>1000</v>
      </c>
      <c r="C4" s="15" t="s">
        <v>535</v>
      </c>
      <c r="D4" s="43" t="n">
        <v>0.1</v>
      </c>
    </row>
    <row r="6" customFormat="false" ht="30" hidden="false" customHeight="true" outlineLevel="0" collapsed="false">
      <c r="A6" s="5" t="s">
        <v>536</v>
      </c>
      <c r="B6" s="5" t="s">
        <v>394</v>
      </c>
      <c r="C6" s="5" t="s">
        <v>537</v>
      </c>
      <c r="D6" s="5" t="s">
        <v>538</v>
      </c>
      <c r="E6" s="5" t="s">
        <v>539</v>
      </c>
      <c r="F6" s="5" t="s">
        <v>540</v>
      </c>
      <c r="G6" s="5" t="s">
        <v>541</v>
      </c>
      <c r="H6" s="5" t="s">
        <v>542</v>
      </c>
      <c r="I6" s="39" t="s">
        <v>543</v>
      </c>
      <c r="J6" s="39" t="s">
        <v>544</v>
      </c>
      <c r="K6" s="39" t="s">
        <v>545</v>
      </c>
      <c r="L6" s="39" t="s">
        <v>546</v>
      </c>
      <c r="M6" s="40" t="s">
        <v>547</v>
      </c>
      <c r="N6" s="40" t="s">
        <v>544</v>
      </c>
      <c r="O6" s="40" t="s">
        <v>545</v>
      </c>
      <c r="P6" s="40" t="s">
        <v>546</v>
      </c>
      <c r="Q6" s="39" t="s">
        <v>548</v>
      </c>
      <c r="R6" s="39" t="s">
        <v>544</v>
      </c>
      <c r="S6" s="39" t="s">
        <v>545</v>
      </c>
      <c r="T6" s="39" t="s">
        <v>546</v>
      </c>
      <c r="U6" s="40" t="s">
        <v>549</v>
      </c>
      <c r="V6" s="40" t="s">
        <v>544</v>
      </c>
      <c r="W6" s="40" t="s">
        <v>545</v>
      </c>
      <c r="X6" s="40" t="s">
        <v>546</v>
      </c>
      <c r="Y6" s="41" t="s">
        <v>550</v>
      </c>
    </row>
    <row r="7" customFormat="false" ht="15" hidden="false" customHeight="false" outlineLevel="0" collapsed="false">
      <c r="A7" s="11" t="s">
        <v>438</v>
      </c>
      <c r="B7" s="12" t="n">
        <v>300</v>
      </c>
      <c r="C7" s="12" t="n">
        <v>350</v>
      </c>
      <c r="D7" s="12" t="n">
        <v>1</v>
      </c>
      <c r="E7" s="12" t="n">
        <v>1</v>
      </c>
      <c r="F7" s="12" t="n">
        <v>1</v>
      </c>
      <c r="G7" s="12" t="n">
        <v>1</v>
      </c>
      <c r="H7" s="12" t="n">
        <v>1.4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44" t="n">
        <f aca="false">C7*F7*G7*H7</f>
        <v>490</v>
      </c>
    </row>
    <row r="8" customFormat="false" ht="15" hidden="false" customHeight="false" outlineLevel="0" collapsed="false">
      <c r="A8" s="11" t="s">
        <v>439</v>
      </c>
      <c r="B8" s="12" t="n">
        <v>450</v>
      </c>
      <c r="C8" s="12" t="n">
        <v>650</v>
      </c>
      <c r="D8" s="12" t="n">
        <v>2</v>
      </c>
      <c r="E8" s="12" t="n">
        <v>3</v>
      </c>
      <c r="F8" s="12" t="n">
        <v>0.4</v>
      </c>
      <c r="G8" s="12" t="n">
        <v>1</v>
      </c>
      <c r="H8" s="12" t="n">
        <v>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44" t="n">
        <f aca="false">C8*F8*G8*H8</f>
        <v>260</v>
      </c>
    </row>
    <row r="9" customFormat="false" ht="15" hidden="false" customHeight="false" outlineLevel="0" collapsed="false">
      <c r="A9" s="11" t="s">
        <v>551</v>
      </c>
      <c r="B9" s="12" t="n">
        <v>150</v>
      </c>
      <c r="C9" s="12" t="n">
        <v>220</v>
      </c>
      <c r="D9" s="12" t="n">
        <v>1</v>
      </c>
      <c r="E9" s="12" t="n">
        <v>2</v>
      </c>
      <c r="F9" s="12" t="n">
        <v>1</v>
      </c>
      <c r="G9" s="12" t="n">
        <v>1</v>
      </c>
      <c r="H9" s="12" t="n">
        <v>1.3</v>
      </c>
      <c r="I9" s="12" t="n">
        <v>1</v>
      </c>
      <c r="J9" s="12" t="n">
        <v>1</v>
      </c>
      <c r="K9" s="12" t="n">
        <v>1</v>
      </c>
      <c r="L9" s="12" t="n">
        <v>1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44" t="n">
        <f aca="false">C9*F9*G9*H9</f>
        <v>286</v>
      </c>
    </row>
    <row r="10" customFormat="false" ht="15" hidden="false" customHeight="false" outlineLevel="0" collapsed="false">
      <c r="A10" s="11" t="s">
        <v>437</v>
      </c>
      <c r="B10" s="12" t="n">
        <v>250</v>
      </c>
      <c r="C10" s="12" t="n">
        <v>420</v>
      </c>
      <c r="D10" s="12" t="n">
        <v>2</v>
      </c>
      <c r="E10" s="12" t="n">
        <v>2</v>
      </c>
      <c r="F10" s="12" t="n">
        <v>1</v>
      </c>
      <c r="G10" s="12" t="n">
        <v>1.1</v>
      </c>
      <c r="H10" s="12" t="n">
        <v>1</v>
      </c>
      <c r="I10" s="12" t="n">
        <v>1</v>
      </c>
      <c r="J10" s="12" t="n">
        <v>1</v>
      </c>
      <c r="K10" s="12" t="n">
        <v>1</v>
      </c>
      <c r="L10" s="12" t="n">
        <v>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44" t="n">
        <f aca="false">C10*F10*G10*H10</f>
        <v>462</v>
      </c>
    </row>
    <row r="11" customFormat="false" ht="15" hidden="false" customHeight="false" outlineLevel="0" collapsed="false">
      <c r="A11" s="11" t="s">
        <v>552</v>
      </c>
      <c r="B11" s="12" t="n">
        <v>300</v>
      </c>
      <c r="C11" s="12" t="n">
        <v>380</v>
      </c>
      <c r="D11" s="12" t="n">
        <v>2</v>
      </c>
      <c r="E11" s="12" t="n">
        <v>3</v>
      </c>
      <c r="F11" s="12" t="n">
        <v>1</v>
      </c>
      <c r="G11" s="12" t="n">
        <v>0.8</v>
      </c>
      <c r="H11" s="12" t="n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44" t="n">
        <f aca="false">C11*F11*G11*H11</f>
        <v>304</v>
      </c>
    </row>
    <row r="12" customFormat="false" ht="15" hidden="false" customHeight="false" outlineLevel="0" collapsed="false">
      <c r="A12" s="11" t="s">
        <v>553</v>
      </c>
      <c r="B12" s="12" t="n">
        <v>200</v>
      </c>
      <c r="C12" s="12" t="n">
        <v>380</v>
      </c>
      <c r="D12" s="12" t="n">
        <v>1</v>
      </c>
      <c r="E12" s="12" t="n">
        <v>2</v>
      </c>
      <c r="F12" s="12" t="n">
        <v>1</v>
      </c>
      <c r="G12" s="12" t="n">
        <v>1.5</v>
      </c>
      <c r="H12" s="12" t="n">
        <v>1</v>
      </c>
      <c r="I12" s="12" t="n">
        <v>1</v>
      </c>
      <c r="J12" s="12" t="n">
        <v>1</v>
      </c>
      <c r="K12" s="12" t="n">
        <v>1</v>
      </c>
      <c r="L12" s="12" t="n">
        <v>1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44" t="n">
        <f aca="false">C12*F12*G12*H12</f>
        <v>570</v>
      </c>
    </row>
    <row r="13" customFormat="false" ht="15" hidden="false" customHeight="false" outlineLevel="0" collapsed="false">
      <c r="A13" s="11" t="s">
        <v>554</v>
      </c>
      <c r="B13" s="12" t="n">
        <v>500</v>
      </c>
      <c r="C13" s="12" t="n">
        <v>700</v>
      </c>
      <c r="D13" s="12" t="n">
        <v>3</v>
      </c>
      <c r="E13" s="12" t="n">
        <v>3</v>
      </c>
      <c r="F13" s="12" t="n">
        <v>0.7</v>
      </c>
      <c r="G13" s="12" t="n">
        <v>1</v>
      </c>
      <c r="H13" s="12" t="n">
        <v>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44" t="n">
        <f aca="false">C13*F13*G13*H13</f>
        <v>490</v>
      </c>
    </row>
    <row r="14" customFormat="false" ht="15" hidden="false" customHeight="false" outlineLevel="0" collapsed="false">
      <c r="A14" s="15" t="s">
        <v>555</v>
      </c>
    </row>
    <row r="16" customFormat="false" ht="15" hidden="false" customHeight="true" outlineLevel="0" collapsed="false">
      <c r="A16" s="11" t="s">
        <v>556</v>
      </c>
      <c r="B16" s="7" t="s">
        <v>557</v>
      </c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11" t="s">
        <v>558</v>
      </c>
      <c r="B17" s="7" t="s">
        <v>559</v>
      </c>
      <c r="C17" s="7"/>
      <c r="D17" s="7"/>
      <c r="E17" s="7"/>
      <c r="F17" s="7"/>
      <c r="G17" s="7"/>
      <c r="H17" s="7"/>
    </row>
    <row r="18" customFormat="false" ht="15" hidden="false" customHeight="true" outlineLevel="0" collapsed="false">
      <c r="A18" s="11" t="s">
        <v>560</v>
      </c>
      <c r="B18" s="7" t="s">
        <v>561</v>
      </c>
      <c r="C18" s="7"/>
      <c r="D18" s="7"/>
      <c r="E18" s="7"/>
      <c r="F18" s="7"/>
      <c r="G18" s="7"/>
      <c r="H18" s="7"/>
    </row>
    <row r="20" customFormat="false" ht="30" hidden="false" customHeight="true" outlineLevel="0" collapsed="false">
      <c r="A20" s="41" t="s">
        <v>562</v>
      </c>
      <c r="B20" s="41"/>
      <c r="C20" s="41"/>
      <c r="D20" s="41"/>
      <c r="E20" s="41"/>
      <c r="F20" s="41"/>
      <c r="G20" s="41"/>
      <c r="H20" s="41"/>
      <c r="I20" s="42" t="s">
        <v>525</v>
      </c>
      <c r="M20" s="42" t="s">
        <v>526</v>
      </c>
      <c r="Q20" s="42" t="s">
        <v>527</v>
      </c>
      <c r="U20" s="42" t="s">
        <v>528</v>
      </c>
    </row>
    <row r="21" customFormat="false" ht="15" hidden="false" customHeight="false" outlineLevel="0" collapsed="false">
      <c r="A21" s="11" t="s">
        <v>563</v>
      </c>
      <c r="I21" s="13" t="n">
        <f aca="false">SUMPRODUCT($B$7:$B$13,--(I7:I13=1))</f>
        <v>600</v>
      </c>
      <c r="M21" s="13" t="n">
        <f aca="false">SUMPRODUCT($B$7:$B$13,--(M7:M13=1))</f>
        <v>0</v>
      </c>
      <c r="Q21" s="13" t="n">
        <f aca="false">SUMPRODUCT($B$7:$B$13,--(Q7:Q13=1))</f>
        <v>0</v>
      </c>
      <c r="U21" s="13" t="n">
        <f aca="false">SUMPRODUCT($B$7:$B$13,--(U7:U13=1))</f>
        <v>0</v>
      </c>
    </row>
    <row r="22" customFormat="false" ht="15" hidden="false" customHeight="false" outlineLevel="0" collapsed="false">
      <c r="A22" s="11" t="s">
        <v>564</v>
      </c>
      <c r="I22" s="13" t="n">
        <f aca="false">SUMPRODUCT($B$7:$B$13,--(L7:L13=1))</f>
        <v>600</v>
      </c>
      <c r="M22" s="13" t="n">
        <f aca="false">SUMPRODUCT($B$7:$B$13,--(P7:P13=1))</f>
        <v>0</v>
      </c>
      <c r="Q22" s="13" t="n">
        <f aca="false">SUMPRODUCT($B$7:$B$13,--(T7:T13=1))</f>
        <v>0</v>
      </c>
      <c r="U22" s="13" t="n">
        <f aca="false">SUMPRODUCT($B$7:$B$13,--(X7:X13=1))</f>
        <v>0</v>
      </c>
    </row>
    <row r="23" customFormat="false" ht="15" hidden="false" customHeight="false" outlineLevel="0" collapsed="false">
      <c r="A23" s="11" t="s">
        <v>565</v>
      </c>
      <c r="I23" s="13" t="n">
        <f aca="false">COUNTIF(L7:L13,1)</f>
        <v>3</v>
      </c>
      <c r="M23" s="13" t="n">
        <f aca="false">COUNTIF(P7:P13,1)</f>
        <v>0</v>
      </c>
      <c r="Q23" s="13" t="n">
        <f aca="false">COUNTIF(T7:T13,1)</f>
        <v>0</v>
      </c>
      <c r="U23" s="13" t="n">
        <f aca="false">COUNTIF(X7:X13,1)</f>
        <v>0</v>
      </c>
    </row>
    <row r="24" customFormat="false" ht="15" hidden="false" customHeight="false" outlineLevel="0" collapsed="false">
      <c r="A24" s="11" t="s">
        <v>566</v>
      </c>
      <c r="I24" s="13" t="str">
        <f aca="false">IF(AND(I22&lt;=$B$4,I23&lt;=3),"OK","Melanggar")</f>
        <v>OK</v>
      </c>
      <c r="M24" s="13" t="str">
        <f aca="false">IF(AND(M22&lt;=$B$4,M23&lt;=3),"OK","Melanggar")</f>
        <v>OK</v>
      </c>
      <c r="Q24" s="13" t="str">
        <f aca="false">IF(AND(Q22&lt;=$B$4,Q23&lt;=3),"OK","Melanggar")</f>
        <v>OK</v>
      </c>
      <c r="U24" s="13" t="str">
        <f aca="false">IF(AND(U22&lt;=$B$4,U23&lt;=3),"OK","Melanggar")</f>
        <v>OK</v>
      </c>
    </row>
    <row r="25" customFormat="false" ht="15" hidden="false" customHeight="false" outlineLevel="0" collapsed="false">
      <c r="A25" s="11" t="s">
        <v>567</v>
      </c>
      <c r="I25" s="44" t="n">
        <f aca="false">(SUMPRODUCT($B$7:$B$13,--(I7:I13=1),--(J7:J13&lt;&gt;1))+SUMPRODUCT($B$7:$B$13,--(J7:J13=1),--(K7:K13&lt;&gt;1))+SUMPRODUCT($B$7:$B$13,--(K7:K13=1),--(L7:L13&lt;&gt;1)))*$D$4</f>
        <v>0</v>
      </c>
      <c r="M25" s="44" t="n">
        <f aca="false">(SUMPRODUCT($B$7:$B$13,--(M7:M13=1),--(N7:N13&lt;&gt;1))+SUMPRODUCT($B$7:$B$13,--(N7:N13=1),--(O7:O13&lt;&gt;1))+SUMPRODUCT($B$7:$B$13,--(O7:O13=1),--(P7:P13&lt;&gt;1)))*$D$4</f>
        <v>0</v>
      </c>
      <c r="Q25" s="44" t="n">
        <f aca="false">(SUMPRODUCT($B$7:$B$13,--(Q7:Q13=1),--(R7:R13&lt;&gt;1))+SUMPRODUCT($B$7:$B$13,--(R7:R13=1),--(S7:S13&lt;&gt;1))+SUMPRODUCT($B$7:$B$13,--(S7:S13=1),--(T7:T13&lt;&gt;1)))*$D$4</f>
        <v>0</v>
      </c>
      <c r="U25" s="44" t="n">
        <f aca="false">(SUMPRODUCT($B$7:$B$13,--(U7:U13=1),--(V7:V13&lt;&gt;1))+SUMPRODUCT($B$7:$B$13,--(V7:V13=1),--(W7:W13&lt;&gt;1))+SUMPRODUCT($B$7:$B$13,--(W7:W13=1),--(X7:X13&lt;&gt;1)))*$D$4</f>
        <v>0</v>
      </c>
    </row>
    <row r="26" customFormat="false" ht="15" hidden="false" customHeight="false" outlineLevel="0" collapsed="false">
      <c r="A26" s="11" t="s">
        <v>550</v>
      </c>
      <c r="I26" s="44" t="n">
        <f aca="false">SUMPRODUCT($Y$7:$Y$13,--(L7:L13=1))</f>
        <v>1318</v>
      </c>
      <c r="M26" s="44" t="n">
        <f aca="false">SUMPRODUCT($Y$7:$Y$13,--(P7:P13=1))</f>
        <v>0</v>
      </c>
      <c r="Q26" s="44" t="n">
        <f aca="false">SUMPRODUCT($Y$7:$Y$13,--(T7:T13=1))</f>
        <v>0</v>
      </c>
      <c r="U26" s="44" t="n">
        <f aca="false">SUMPRODUCT($Y$7:$Y$13,--(X7:X13=1))</f>
        <v>0</v>
      </c>
    </row>
    <row r="27" customFormat="false" ht="15" hidden="false" customHeight="false" outlineLevel="0" collapsed="false">
      <c r="A27" s="11" t="s">
        <v>568</v>
      </c>
      <c r="I27" s="13" t="n">
        <f aca="false">SUMPRODUCT($D$7:$D$13,--(L7:L13=1))</f>
        <v>4</v>
      </c>
      <c r="M27" s="13" t="n">
        <f aca="false">SUMPRODUCT($D$7:$D$13,--(P7:P13=1))</f>
        <v>0</v>
      </c>
      <c r="Q27" s="13" t="n">
        <f aca="false">SUMPRODUCT($D$7:$D$13,--(T7:T13=1))</f>
        <v>0</v>
      </c>
      <c r="U27" s="13" t="n">
        <f aca="false">SUMPRODUCT($D$7:$D$13,--(X7:X13=1))</f>
        <v>0</v>
      </c>
    </row>
    <row r="28" customFormat="false" ht="15" hidden="false" customHeight="false" outlineLevel="0" collapsed="false">
      <c r="A28" s="11" t="s">
        <v>569</v>
      </c>
      <c r="I28" s="45" t="n">
        <f aca="false">IF(I24="OK",I26-I25-I22,0)</f>
        <v>718</v>
      </c>
      <c r="M28" s="45" t="n">
        <f aca="false">IF(M24="OK",M26-M25-M22,0)</f>
        <v>0</v>
      </c>
      <c r="Q28" s="45" t="n">
        <f aca="false">IF(Q24="OK",Q26-Q25-Q22,0)</f>
        <v>0</v>
      </c>
      <c r="U28" s="45" t="n">
        <f aca="false">IF(U24="OK",U26-U25-U22,0)</f>
        <v>0</v>
      </c>
    </row>
    <row r="30" customFormat="false" ht="15" hidden="false" customHeight="false" outlineLevel="0" collapsed="false">
      <c r="A30" s="22" t="s">
        <v>570</v>
      </c>
    </row>
  </sheetData>
  <mergeCells count="3">
    <mergeCell ref="B16:H16"/>
    <mergeCell ref="B17:H17"/>
    <mergeCell ref="B18:H18"/>
  </mergeCells>
  <dataValidations count="1">
    <dataValidation allowBlank="true" errorStyle="stop" operator="between" showDropDown="false" showErrorMessage="false" showInputMessage="false" sqref="I7:X1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5" min="3" style="0" width="30"/>
    <col collapsed="false" customWidth="true" hidden="false" outlineLevel="0" max="11" min="6" style="0" width="9"/>
  </cols>
  <sheetData>
    <row r="1" customFormat="false" ht="27.75" hidden="false" customHeight="true" outlineLevel="0" collapsed="false">
      <c r="A1" s="9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0" t="s">
        <v>56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87</v>
      </c>
      <c r="B5" s="5" t="s">
        <v>571</v>
      </c>
      <c r="C5" s="5" t="s">
        <v>572</v>
      </c>
      <c r="D5" s="5" t="s">
        <v>573</v>
      </c>
      <c r="E5" s="5" t="s">
        <v>574</v>
      </c>
      <c r="F5" s="5" t="s">
        <v>525</v>
      </c>
      <c r="G5" s="5" t="s">
        <v>526</v>
      </c>
      <c r="H5" s="5" t="s">
        <v>527</v>
      </c>
      <c r="I5" s="5" t="s">
        <v>528</v>
      </c>
      <c r="J5" s="5" t="s">
        <v>575</v>
      </c>
      <c r="K5" s="5" t="s">
        <v>576</v>
      </c>
    </row>
    <row r="6" customFormat="false" ht="23.85" hidden="false" customHeight="false" outlineLevel="0" collapsed="false">
      <c r="A6" s="11" t="s">
        <v>577</v>
      </c>
      <c r="B6" s="13" t="n">
        <v>10</v>
      </c>
      <c r="C6" s="7" t="s">
        <v>578</v>
      </c>
      <c r="D6" s="7" t="s">
        <v>579</v>
      </c>
      <c r="E6" s="7" t="s">
        <v>580</v>
      </c>
      <c r="F6" s="12"/>
      <c r="G6" s="12"/>
      <c r="H6" s="12"/>
      <c r="I6" s="12"/>
      <c r="J6" s="12"/>
      <c r="K6" s="12"/>
    </row>
    <row r="7" customFormat="false" ht="15" hidden="false" customHeight="false" outlineLevel="0" collapsed="false">
      <c r="A7" s="11" t="s">
        <v>581</v>
      </c>
      <c r="B7" s="13" t="n">
        <v>15</v>
      </c>
      <c r="C7" s="7" t="s">
        <v>582</v>
      </c>
      <c r="D7" s="7" t="s">
        <v>583</v>
      </c>
      <c r="E7" s="7" t="s">
        <v>584</v>
      </c>
      <c r="F7" s="12"/>
      <c r="G7" s="12"/>
      <c r="H7" s="12"/>
      <c r="I7" s="12"/>
      <c r="J7" s="12"/>
      <c r="K7" s="12"/>
    </row>
    <row r="8" customFormat="false" ht="15" hidden="false" customHeight="false" outlineLevel="0" collapsed="false">
      <c r="A8" s="11" t="s">
        <v>95</v>
      </c>
      <c r="B8" s="13" t="n">
        <v>10</v>
      </c>
      <c r="C8" s="7" t="s">
        <v>585</v>
      </c>
      <c r="D8" s="7" t="s">
        <v>586</v>
      </c>
      <c r="E8" s="7" t="s">
        <v>587</v>
      </c>
      <c r="F8" s="12"/>
      <c r="G8" s="12"/>
      <c r="H8" s="12"/>
      <c r="I8" s="12"/>
      <c r="J8" s="12"/>
      <c r="K8" s="12"/>
    </row>
    <row r="9" customFormat="false" ht="23.85" hidden="false" customHeight="false" outlineLevel="0" collapsed="false">
      <c r="A9" s="11" t="s">
        <v>98</v>
      </c>
      <c r="B9" s="13" t="n">
        <v>20</v>
      </c>
      <c r="C9" s="7" t="s">
        <v>588</v>
      </c>
      <c r="D9" s="7" t="s">
        <v>589</v>
      </c>
      <c r="E9" s="7" t="s">
        <v>590</v>
      </c>
      <c r="F9" s="12"/>
      <c r="G9" s="12"/>
      <c r="H9" s="12"/>
      <c r="I9" s="12"/>
      <c r="J9" s="12"/>
      <c r="K9" s="12"/>
    </row>
    <row r="10" customFormat="false" ht="23.85" hidden="false" customHeight="false" outlineLevel="0" collapsed="false">
      <c r="A10" s="11" t="s">
        <v>591</v>
      </c>
      <c r="B10" s="13" t="n">
        <v>15</v>
      </c>
      <c r="C10" s="7" t="s">
        <v>592</v>
      </c>
      <c r="D10" s="7" t="s">
        <v>593</v>
      </c>
      <c r="E10" s="7" t="s">
        <v>594</v>
      </c>
      <c r="F10" s="12"/>
      <c r="G10" s="12"/>
      <c r="H10" s="12"/>
      <c r="I10" s="12"/>
      <c r="J10" s="12"/>
      <c r="K10" s="12"/>
    </row>
    <row r="11" customFormat="false" ht="23.85" hidden="false" customHeight="false" outlineLevel="0" collapsed="false">
      <c r="A11" s="11" t="s">
        <v>595</v>
      </c>
      <c r="B11" s="13" t="n">
        <v>10</v>
      </c>
      <c r="C11" s="7" t="s">
        <v>596</v>
      </c>
      <c r="D11" s="7" t="s">
        <v>597</v>
      </c>
      <c r="E11" s="7" t="s">
        <v>598</v>
      </c>
      <c r="F11" s="12"/>
      <c r="G11" s="12"/>
      <c r="H11" s="12"/>
      <c r="I11" s="12"/>
      <c r="J11" s="12"/>
      <c r="K11" s="12"/>
    </row>
    <row r="12" customFormat="false" ht="15" hidden="false" customHeight="false" outlineLevel="0" collapsed="false">
      <c r="A12" s="11" t="s">
        <v>97</v>
      </c>
      <c r="B12" s="13" t="n">
        <v>10</v>
      </c>
      <c r="C12" s="7" t="s">
        <v>599</v>
      </c>
      <c r="D12" s="7" t="s">
        <v>600</v>
      </c>
      <c r="E12" s="7" t="s">
        <v>601</v>
      </c>
      <c r="F12" s="12"/>
      <c r="G12" s="12"/>
      <c r="H12" s="12"/>
      <c r="I12" s="12"/>
      <c r="J12" s="12"/>
      <c r="K12" s="12"/>
    </row>
    <row r="13" customFormat="false" ht="23.85" hidden="false" customHeight="false" outlineLevel="0" collapsed="false">
      <c r="A13" s="11" t="s">
        <v>103</v>
      </c>
      <c r="B13" s="13" t="n">
        <v>10</v>
      </c>
      <c r="C13" s="7" t="s">
        <v>602</v>
      </c>
      <c r="D13" s="7" t="s">
        <v>603</v>
      </c>
      <c r="E13" s="7" t="s">
        <v>604</v>
      </c>
      <c r="F13" s="12"/>
      <c r="G13" s="12"/>
      <c r="H13" s="12"/>
      <c r="I13" s="12"/>
      <c r="J13" s="12"/>
      <c r="K13" s="12"/>
    </row>
    <row r="14" customFormat="false" ht="15" hidden="false" customHeight="false" outlineLevel="0" collapsed="false">
      <c r="A14" s="8" t="s">
        <v>605</v>
      </c>
      <c r="B14" s="21" t="n">
        <f aca="false">SUM(B6:B13)</f>
        <v>100</v>
      </c>
      <c r="F14" s="21" t="str">
        <f aca="false">IF(COUNT(F6:F13)=0,"",SUM(F6:F13))</f>
        <v/>
      </c>
      <c r="G14" s="21" t="str">
        <f aca="false">IF(COUNT(G6:G13)=0,"",SUM(G6:G13))</f>
        <v/>
      </c>
      <c r="H14" s="21" t="str">
        <f aca="false">IF(COUNT(H6:H13)=0,"",SUM(H6:H13))</f>
        <v/>
      </c>
      <c r="I14" s="21" t="str">
        <f aca="false">IF(COUNT(I6:I13)=0,"",SUM(I6:I13))</f>
        <v/>
      </c>
      <c r="J14" s="21" t="str">
        <f aca="false">IF(COUNT(J6:J13)=0,"",SUM(J6:J13))</f>
        <v/>
      </c>
      <c r="K14" s="21" t="str">
        <f aca="false">IF(COUNT(K6:K13)=0,"",SUM(K6:K13))</f>
        <v/>
      </c>
    </row>
    <row r="15" customFormat="false" ht="15" hidden="false" customHeight="false" outlineLevel="0" collapsed="false">
      <c r="A15" s="11" t="s">
        <v>448</v>
      </c>
      <c r="F15" s="13" t="str">
        <f aca="false">IF(F14="","",RANK(F14,$F$14:$K$14))</f>
        <v/>
      </c>
      <c r="G15" s="13" t="str">
        <f aca="false">IF(G14="","",RANK(G14,$F$14:$K$14))</f>
        <v/>
      </c>
      <c r="H15" s="13" t="str">
        <f aca="false">IF(H14="","",RANK(H14,$F$14:$K$14))</f>
        <v/>
      </c>
      <c r="I15" s="13" t="str">
        <f aca="false">IF(I14="","",RANK(I14,$F$14:$K$14))</f>
        <v/>
      </c>
      <c r="J15" s="13" t="str">
        <f aca="false">IF(J14="","",RANK(J14,$F$14:$K$14))</f>
        <v/>
      </c>
      <c r="K15" s="13" t="str">
        <f aca="false">IF(K14="","",RANK(K14,$F$14:$K$14))</f>
        <v/>
      </c>
    </row>
    <row r="16" customFormat="false" ht="39.75" hidden="false" customHeight="true" outlineLevel="0" collapsed="false">
      <c r="A16" s="11" t="s">
        <v>606</v>
      </c>
      <c r="F16" s="13" t="str">
        <f aca="false">IF(COUNT(F19:F26)&lt;8,"",INDEX($A$19:$A$26,MATCH(MIN(F19:F26),F19:F26,0)))</f>
        <v/>
      </c>
      <c r="G16" s="13" t="str">
        <f aca="false">IF(COUNT(G19:G26)&lt;8,"",INDEX($A$19:$A$26,MATCH(MIN(G19:G26),G19:G26,0)))</f>
        <v/>
      </c>
      <c r="H16" s="13" t="str">
        <f aca="false">IF(COUNT(H19:H26)&lt;8,"",INDEX($A$19:$A$26,MATCH(MIN(H19:H26),H19:H26,0)))</f>
        <v/>
      </c>
      <c r="I16" s="13" t="str">
        <f aca="false">IF(COUNT(I19:I26)&lt;8,"",INDEX($A$19:$A$26,MATCH(MIN(I19:I26),I19:I26,0)))</f>
        <v/>
      </c>
      <c r="J16" s="13" t="str">
        <f aca="false">IF(COUNT(J19:J26)&lt;8,"",INDEX($A$19:$A$26,MATCH(MIN(J19:J26),J19:J26,0)))</f>
        <v/>
      </c>
      <c r="K16" s="13" t="str">
        <f aca="false">IF(COUNT(K19:K26)&lt;8,"",INDEX($A$19:$A$26,MATCH(MIN(K19:K26),K19:K26,0)))</f>
        <v/>
      </c>
    </row>
    <row r="18" customFormat="false" ht="23.85" hidden="false" customHeight="false" outlineLevel="0" collapsed="false">
      <c r="A18" s="11" t="s">
        <v>607</v>
      </c>
    </row>
    <row r="19" customFormat="false" ht="15" hidden="false" customHeight="false" outlineLevel="0" collapsed="false">
      <c r="A19" s="7" t="s">
        <v>577</v>
      </c>
      <c r="F19" s="29" t="str">
        <f aca="false">IF(F6="","",F6/$B$6)</f>
        <v/>
      </c>
      <c r="G19" s="29" t="str">
        <f aca="false">IF(G6="","",G6/$B$6)</f>
        <v/>
      </c>
      <c r="H19" s="29" t="str">
        <f aca="false">IF(H6="","",H6/$B$6)</f>
        <v/>
      </c>
      <c r="I19" s="29" t="str">
        <f aca="false">IF(I6="","",I6/$B$6)</f>
        <v/>
      </c>
      <c r="J19" s="29" t="str">
        <f aca="false">IF(J6="","",J6/$B$6)</f>
        <v/>
      </c>
      <c r="K19" s="29" t="str">
        <f aca="false">IF(K6="","",K6/$B$6)</f>
        <v/>
      </c>
    </row>
    <row r="20" customFormat="false" ht="15" hidden="false" customHeight="false" outlineLevel="0" collapsed="false">
      <c r="A20" s="7" t="s">
        <v>581</v>
      </c>
      <c r="F20" s="29" t="str">
        <f aca="false">IF(F7="","",F7/$B$7)</f>
        <v/>
      </c>
      <c r="G20" s="29" t="str">
        <f aca="false">IF(G7="","",G7/$B$7)</f>
        <v/>
      </c>
      <c r="H20" s="29" t="str">
        <f aca="false">IF(H7="","",H7/$B$7)</f>
        <v/>
      </c>
      <c r="I20" s="29" t="str">
        <f aca="false">IF(I7="","",I7/$B$7)</f>
        <v/>
      </c>
      <c r="J20" s="29" t="str">
        <f aca="false">IF(J7="","",J7/$B$7)</f>
        <v/>
      </c>
      <c r="K20" s="29" t="str">
        <f aca="false">IF(K7="","",K7/$B$7)</f>
        <v/>
      </c>
    </row>
    <row r="21" customFormat="false" ht="15" hidden="false" customHeight="false" outlineLevel="0" collapsed="false">
      <c r="A21" s="7" t="s">
        <v>95</v>
      </c>
      <c r="F21" s="29" t="str">
        <f aca="false">IF(F8="","",F8/$B$8)</f>
        <v/>
      </c>
      <c r="G21" s="29" t="str">
        <f aca="false">IF(G8="","",G8/$B$8)</f>
        <v/>
      </c>
      <c r="H21" s="29" t="str">
        <f aca="false">IF(H8="","",H8/$B$8)</f>
        <v/>
      </c>
      <c r="I21" s="29" t="str">
        <f aca="false">IF(I8="","",I8/$B$8)</f>
        <v/>
      </c>
      <c r="J21" s="29" t="str">
        <f aca="false">IF(J8="","",J8/$B$8)</f>
        <v/>
      </c>
      <c r="K21" s="29" t="str">
        <f aca="false">IF(K8="","",K8/$B$8)</f>
        <v/>
      </c>
    </row>
    <row r="22" customFormat="false" ht="15" hidden="false" customHeight="false" outlineLevel="0" collapsed="false">
      <c r="A22" s="7" t="s">
        <v>98</v>
      </c>
      <c r="F22" s="29" t="str">
        <f aca="false">IF(F9="","",F9/$B$9)</f>
        <v/>
      </c>
      <c r="G22" s="29" t="str">
        <f aca="false">IF(G9="","",G9/$B$9)</f>
        <v/>
      </c>
      <c r="H22" s="29" t="str">
        <f aca="false">IF(H9="","",H9/$B$9)</f>
        <v/>
      </c>
      <c r="I22" s="29" t="str">
        <f aca="false">IF(I9="","",I9/$B$9)</f>
        <v/>
      </c>
      <c r="J22" s="29" t="str">
        <f aca="false">IF(J9="","",J9/$B$9)</f>
        <v/>
      </c>
      <c r="K22" s="29" t="str">
        <f aca="false">IF(K9="","",K9/$B$9)</f>
        <v/>
      </c>
    </row>
    <row r="23" customFormat="false" ht="15" hidden="false" customHeight="false" outlineLevel="0" collapsed="false">
      <c r="A23" s="7" t="s">
        <v>591</v>
      </c>
      <c r="F23" s="29" t="str">
        <f aca="false">IF(F10="","",F10/$B$10)</f>
        <v/>
      </c>
      <c r="G23" s="29" t="str">
        <f aca="false">IF(G10="","",G10/$B$10)</f>
        <v/>
      </c>
      <c r="H23" s="29" t="str">
        <f aca="false">IF(H10="","",H10/$B$10)</f>
        <v/>
      </c>
      <c r="I23" s="29" t="str">
        <f aca="false">IF(I10="","",I10/$B$10)</f>
        <v/>
      </c>
      <c r="J23" s="29" t="str">
        <f aca="false">IF(J10="","",J10/$B$10)</f>
        <v/>
      </c>
      <c r="K23" s="29" t="str">
        <f aca="false">IF(K10="","",K10/$B$10)</f>
        <v/>
      </c>
    </row>
    <row r="24" customFormat="false" ht="15" hidden="false" customHeight="false" outlineLevel="0" collapsed="false">
      <c r="A24" s="7" t="s">
        <v>595</v>
      </c>
      <c r="F24" s="29" t="str">
        <f aca="false">IF(F11="","",F11/$B$11)</f>
        <v/>
      </c>
      <c r="G24" s="29" t="str">
        <f aca="false">IF(G11="","",G11/$B$11)</f>
        <v/>
      </c>
      <c r="H24" s="29" t="str">
        <f aca="false">IF(H11="","",H11/$B$11)</f>
        <v/>
      </c>
      <c r="I24" s="29" t="str">
        <f aca="false">IF(I11="","",I11/$B$11)</f>
        <v/>
      </c>
      <c r="J24" s="29" t="str">
        <f aca="false">IF(J11="","",J11/$B$11)</f>
        <v/>
      </c>
      <c r="K24" s="29" t="str">
        <f aca="false">IF(K11="","",K11/$B$11)</f>
        <v/>
      </c>
    </row>
    <row r="25" customFormat="false" ht="15" hidden="false" customHeight="false" outlineLevel="0" collapsed="false">
      <c r="A25" s="7" t="s">
        <v>97</v>
      </c>
      <c r="F25" s="29" t="str">
        <f aca="false">IF(F12="","",F12/$B$12)</f>
        <v/>
      </c>
      <c r="G25" s="29" t="str">
        <f aca="false">IF(G12="","",G12/$B$12)</f>
        <v/>
      </c>
      <c r="H25" s="29" t="str">
        <f aca="false">IF(H12="","",H12/$B$12)</f>
        <v/>
      </c>
      <c r="I25" s="29" t="str">
        <f aca="false">IF(I12="","",I12/$B$12)</f>
        <v/>
      </c>
      <c r="J25" s="29" t="str">
        <f aca="false">IF(J12="","",J12/$B$12)</f>
        <v/>
      </c>
      <c r="K25" s="29" t="str">
        <f aca="false">IF(K12="","",K12/$B$12)</f>
        <v/>
      </c>
    </row>
    <row r="26" customFormat="false" ht="15" hidden="false" customHeight="false" outlineLevel="0" collapsed="false">
      <c r="A26" s="7" t="s">
        <v>103</v>
      </c>
      <c r="F26" s="29" t="str">
        <f aca="false">IF(F13="","",F13/$B$13)</f>
        <v/>
      </c>
      <c r="G26" s="29" t="str">
        <f aca="false">IF(G13="","",G13/$B$13)</f>
        <v/>
      </c>
      <c r="H26" s="29" t="str">
        <f aca="false">IF(H13="","",H13/$B$13)</f>
        <v/>
      </c>
      <c r="I26" s="29" t="str">
        <f aca="false">IF(I13="","",I13/$B$13)</f>
        <v/>
      </c>
      <c r="J26" s="29" t="str">
        <f aca="false">IF(J13="","",J13/$B$13)</f>
        <v/>
      </c>
      <c r="K26" s="29" t="str">
        <f aca="false">IF(K13="","",K13/$B$13)</f>
        <v/>
      </c>
    </row>
  </sheetData>
  <dataValidations count="8">
    <dataValidation allowBlank="true" error="Skor melebihi maksimum" errorStyle="stop" operator="between" showDropDown="false" showErrorMessage="true" showInputMessage="false" sqref="F6:K6" type="decimal">
      <formula1>0</formula1>
      <formula2>$B$6</formula2>
    </dataValidation>
    <dataValidation allowBlank="true" error="Skor melebihi maksimum" errorStyle="stop" operator="between" showDropDown="false" showErrorMessage="true" showInputMessage="false" sqref="F7:K7" type="decimal">
      <formula1>0</formula1>
      <formula2>$B$7</formula2>
    </dataValidation>
    <dataValidation allowBlank="true" error="Skor melebihi maksimum" errorStyle="stop" operator="between" showDropDown="false" showErrorMessage="true" showInputMessage="false" sqref="F8:K8" type="decimal">
      <formula1>0</formula1>
      <formula2>$B$8</formula2>
    </dataValidation>
    <dataValidation allowBlank="true" error="Skor melebihi maksimum" errorStyle="stop" operator="between" showDropDown="false" showErrorMessage="true" showInputMessage="false" sqref="F9:K9" type="decimal">
      <formula1>0</formula1>
      <formula2>$B$9</formula2>
    </dataValidation>
    <dataValidation allowBlank="true" error="Skor melebihi maksimum" errorStyle="stop" operator="between" showDropDown="false" showErrorMessage="true" showInputMessage="false" sqref="F10:K10" type="decimal">
      <formula1>0</formula1>
      <formula2>$B$10</formula2>
    </dataValidation>
    <dataValidation allowBlank="true" error="Skor melebihi maksimum" errorStyle="stop" operator="between" showDropDown="false" showErrorMessage="true" showInputMessage="false" sqref="F11:K11" type="decimal">
      <formula1>0</formula1>
      <formula2>$B$11</formula2>
    </dataValidation>
    <dataValidation allowBlank="true" error="Skor melebihi maksimum" errorStyle="stop" operator="between" showDropDown="false" showErrorMessage="true" showInputMessage="false" sqref="F12:K12" type="decimal">
      <formula1>0</formula1>
      <formula2>$B$12</formula2>
    </dataValidation>
    <dataValidation allowBlank="true" error="Skor melebihi maksimum" errorStyle="stop" operator="between" showDropDown="false" showErrorMessage="true" showInputMessage="false" sqref="F13:K13" type="decimal">
      <formula1>0</formula1>
      <formula2>$B$13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9" t="s">
        <v>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0" t="s">
        <v>59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608</v>
      </c>
      <c r="B5" s="5" t="s">
        <v>609</v>
      </c>
      <c r="C5" s="5" t="s">
        <v>610</v>
      </c>
      <c r="D5" s="5" t="s">
        <v>477</v>
      </c>
      <c r="E5" s="5" t="s">
        <v>595</v>
      </c>
      <c r="F5" s="5" t="s">
        <v>611</v>
      </c>
      <c r="G5" s="5" t="s">
        <v>475</v>
      </c>
      <c r="H5" s="5" t="s">
        <v>612</v>
      </c>
      <c r="I5" s="5" t="s">
        <v>613</v>
      </c>
      <c r="J5" s="5" t="s">
        <v>113</v>
      </c>
    </row>
    <row r="6" customFormat="false" ht="15" hidden="false" customHeight="false" outlineLevel="0" collapsed="false">
      <c r="A6" s="14"/>
      <c r="B6" s="12"/>
      <c r="C6" s="12"/>
      <c r="D6" s="12"/>
      <c r="E6" s="12"/>
      <c r="F6" s="12"/>
      <c r="G6" s="12"/>
      <c r="H6" s="13" t="str">
        <f aca="false">IF(COUNT(B6:G6)&lt;6,"",SUM(B6:G6))</f>
        <v/>
      </c>
      <c r="I6" s="29" t="str">
        <f aca="false">IF(H6="","",H6/30)</f>
        <v/>
      </c>
      <c r="J6" s="7" t="str">
        <f aca="false">IF(I6="","",IF(I6&gt;=0.8,"Boardroom-ready",IF(I6&gt;=0.6,"Berkembang","Perlu latihan")))</f>
        <v/>
      </c>
    </row>
    <row r="7" customFormat="false" ht="15" hidden="false" customHeight="false" outlineLevel="0" collapsed="false">
      <c r="A7" s="14"/>
      <c r="B7" s="12"/>
      <c r="C7" s="12"/>
      <c r="D7" s="12"/>
      <c r="E7" s="12"/>
      <c r="F7" s="12"/>
      <c r="G7" s="12"/>
      <c r="H7" s="13" t="str">
        <f aca="false">IF(COUNT(B7:G7)&lt;6,"",SUM(B7:G7))</f>
        <v/>
      </c>
      <c r="I7" s="29" t="str">
        <f aca="false">IF(H7="","",H7/30)</f>
        <v/>
      </c>
      <c r="J7" s="7" t="str">
        <f aca="false">IF(I7="","",IF(I7&gt;=0.8,"Boardroom-ready",IF(I7&gt;=0.6,"Berkembang","Perlu latihan")))</f>
        <v/>
      </c>
    </row>
    <row r="8" customFormat="false" ht="15" hidden="false" customHeight="false" outlineLevel="0" collapsed="false">
      <c r="A8" s="14"/>
      <c r="B8" s="12"/>
      <c r="C8" s="12"/>
      <c r="D8" s="12"/>
      <c r="E8" s="12"/>
      <c r="F8" s="12"/>
      <c r="G8" s="12"/>
      <c r="H8" s="13" t="str">
        <f aca="false">IF(COUNT(B8:G8)&lt;6,"",SUM(B8:G8))</f>
        <v/>
      </c>
      <c r="I8" s="29" t="str">
        <f aca="false">IF(H8="","",H8/30)</f>
        <v/>
      </c>
      <c r="J8" s="7" t="str">
        <f aca="false">IF(I8="","",IF(I8&gt;=0.8,"Boardroom-ready",IF(I8&gt;=0.6,"Berkembang","Perlu latihan")))</f>
        <v/>
      </c>
    </row>
    <row r="9" customFormat="false" ht="15" hidden="false" customHeight="false" outlineLevel="0" collapsed="false">
      <c r="A9" s="14"/>
      <c r="B9" s="12"/>
      <c r="C9" s="12"/>
      <c r="D9" s="12"/>
      <c r="E9" s="12"/>
      <c r="F9" s="12"/>
      <c r="G9" s="12"/>
      <c r="H9" s="13" t="str">
        <f aca="false">IF(COUNT(B9:G9)&lt;6,"",SUM(B9:G9))</f>
        <v/>
      </c>
      <c r="I9" s="29" t="str">
        <f aca="false">IF(H9="","",H9/30)</f>
        <v/>
      </c>
      <c r="J9" s="7" t="str">
        <f aca="false">IF(I9="","",IF(I9&gt;=0.8,"Boardroom-ready",IF(I9&gt;=0.6,"Berkembang","Perlu latihan")))</f>
        <v/>
      </c>
    </row>
    <row r="10" customFormat="false" ht="15" hidden="false" customHeight="false" outlineLevel="0" collapsed="false">
      <c r="A10" s="14"/>
      <c r="B10" s="12"/>
      <c r="C10" s="12"/>
      <c r="D10" s="12"/>
      <c r="E10" s="12"/>
      <c r="F10" s="12"/>
      <c r="G10" s="12"/>
      <c r="H10" s="13" t="str">
        <f aca="false">IF(COUNT(B10:G10)&lt;6,"",SUM(B10:G10))</f>
        <v/>
      </c>
      <c r="I10" s="29" t="str">
        <f aca="false">IF(H10="","",H10/30)</f>
        <v/>
      </c>
      <c r="J10" s="7" t="str">
        <f aca="false">IF(I10="","",IF(I10&gt;=0.8,"Boardroom-ready",IF(I10&gt;=0.6,"Berkembang","Perlu latihan")))</f>
        <v/>
      </c>
    </row>
    <row r="11" customFormat="false" ht="15" hidden="false" customHeight="false" outlineLevel="0" collapsed="false">
      <c r="A11" s="14"/>
      <c r="B11" s="12"/>
      <c r="C11" s="12"/>
      <c r="D11" s="12"/>
      <c r="E11" s="12"/>
      <c r="F11" s="12"/>
      <c r="G11" s="12"/>
      <c r="H11" s="13" t="str">
        <f aca="false">IF(COUNT(B11:G11)&lt;6,"",SUM(B11:G11))</f>
        <v/>
      </c>
      <c r="I11" s="29" t="str">
        <f aca="false">IF(H11="","",H11/30)</f>
        <v/>
      </c>
      <c r="J11" s="7" t="str">
        <f aca="false">IF(I11="","",IF(I11&gt;=0.8,"Boardroom-ready",IF(I11&gt;=0.6,"Berkembang","Perlu latihan")))</f>
        <v/>
      </c>
    </row>
    <row r="12" customFormat="false" ht="15" hidden="false" customHeight="false" outlineLevel="0" collapsed="false">
      <c r="A12" s="14"/>
      <c r="B12" s="12"/>
      <c r="C12" s="12"/>
      <c r="D12" s="12"/>
      <c r="E12" s="12"/>
      <c r="F12" s="12"/>
      <c r="G12" s="12"/>
      <c r="H12" s="13" t="str">
        <f aca="false">IF(COUNT(B12:G12)&lt;6,"",SUM(B12:G12))</f>
        <v/>
      </c>
      <c r="I12" s="29" t="str">
        <f aca="false">IF(H12="","",H12/30)</f>
        <v/>
      </c>
      <c r="J12" s="7" t="str">
        <f aca="false">IF(I12="","",IF(I12&gt;=0.8,"Boardroom-ready",IF(I12&gt;=0.6,"Berkembang","Perlu latihan")))</f>
        <v/>
      </c>
    </row>
    <row r="13" customFormat="false" ht="15" hidden="false" customHeight="false" outlineLevel="0" collapsed="false">
      <c r="A13" s="14"/>
      <c r="B13" s="12"/>
      <c r="C13" s="12"/>
      <c r="D13" s="12"/>
      <c r="E13" s="12"/>
      <c r="F13" s="12"/>
      <c r="G13" s="12"/>
      <c r="H13" s="13" t="str">
        <f aca="false">IF(COUNT(B13:G13)&lt;6,"",SUM(B13:G13))</f>
        <v/>
      </c>
      <c r="I13" s="29" t="str">
        <f aca="false">IF(H13="","",H13/30)</f>
        <v/>
      </c>
      <c r="J13" s="7" t="str">
        <f aca="false">IF(I13="","",IF(I13&gt;=0.8,"Boardroom-ready",IF(I13&gt;=0.6,"Berkembang","Perlu latihan")))</f>
        <v/>
      </c>
    </row>
    <row r="14" customFormat="false" ht="15" hidden="false" customHeight="false" outlineLevel="0" collapsed="false">
      <c r="A14" s="14"/>
      <c r="B14" s="12"/>
      <c r="C14" s="12"/>
      <c r="D14" s="12"/>
      <c r="E14" s="12"/>
      <c r="F14" s="12"/>
      <c r="G14" s="12"/>
      <c r="H14" s="13" t="str">
        <f aca="false">IF(COUNT(B14:G14)&lt;6,"",SUM(B14:G14))</f>
        <v/>
      </c>
      <c r="I14" s="29" t="str">
        <f aca="false">IF(H14="","",H14/30)</f>
        <v/>
      </c>
      <c r="J14" s="7" t="str">
        <f aca="false">IF(I14="","",IF(I14&gt;=0.8,"Boardroom-ready",IF(I14&gt;=0.6,"Berkembang","Perlu latihan")))</f>
        <v/>
      </c>
    </row>
    <row r="15" customFormat="false" ht="15" hidden="false" customHeight="false" outlineLevel="0" collapsed="false">
      <c r="A15" s="14"/>
      <c r="B15" s="12"/>
      <c r="C15" s="12"/>
      <c r="D15" s="12"/>
      <c r="E15" s="12"/>
      <c r="F15" s="12"/>
      <c r="G15" s="12"/>
      <c r="H15" s="13" t="str">
        <f aca="false">IF(COUNT(B15:G15)&lt;6,"",SUM(B15:G15))</f>
        <v/>
      </c>
      <c r="I15" s="29" t="str">
        <f aca="false">IF(H15="","",H15/30)</f>
        <v/>
      </c>
      <c r="J15" s="7" t="str">
        <f aca="false">IF(I15="","",IF(I15&gt;=0.8,"Boardroom-ready",IF(I15&gt;=0.6,"Berkembang","Perlu latihan")))</f>
        <v/>
      </c>
    </row>
    <row r="16" customFormat="false" ht="15" hidden="false" customHeight="false" outlineLevel="0" collapsed="false">
      <c r="A16" s="14"/>
      <c r="B16" s="12"/>
      <c r="C16" s="12"/>
      <c r="D16" s="12"/>
      <c r="E16" s="12"/>
      <c r="F16" s="12"/>
      <c r="G16" s="12"/>
      <c r="H16" s="13" t="str">
        <f aca="false">IF(COUNT(B16:G16)&lt;6,"",SUM(B16:G16))</f>
        <v/>
      </c>
      <c r="I16" s="29" t="str">
        <f aca="false">IF(H16="","",H16/30)</f>
        <v/>
      </c>
      <c r="J16" s="7" t="str">
        <f aca="false">IF(I16="","",IF(I16&gt;=0.8,"Boardroom-ready",IF(I16&gt;=0.6,"Berkembang","Perlu latihan")))</f>
        <v/>
      </c>
    </row>
    <row r="17" customFormat="false" ht="15" hidden="false" customHeight="false" outlineLevel="0" collapsed="false">
      <c r="A17" s="14"/>
      <c r="B17" s="12"/>
      <c r="C17" s="12"/>
      <c r="D17" s="12"/>
      <c r="E17" s="12"/>
      <c r="F17" s="12"/>
      <c r="G17" s="12"/>
      <c r="H17" s="13" t="str">
        <f aca="false">IF(COUNT(B17:G17)&lt;6,"",SUM(B17:G17))</f>
        <v/>
      </c>
      <c r="I17" s="29" t="str">
        <f aca="false">IF(H17="","",H17/30)</f>
        <v/>
      </c>
      <c r="J17" s="7" t="str">
        <f aca="false">IF(I17="","",IF(I17&gt;=0.8,"Boardroom-ready",IF(I17&gt;=0.6,"Berkembang","Perlu latihan")))</f>
        <v/>
      </c>
    </row>
    <row r="18" customFormat="false" ht="15" hidden="false" customHeight="false" outlineLevel="0" collapsed="false">
      <c r="A18" s="14"/>
      <c r="B18" s="12"/>
      <c r="C18" s="12"/>
      <c r="D18" s="12"/>
      <c r="E18" s="12"/>
      <c r="F18" s="12"/>
      <c r="G18" s="12"/>
      <c r="H18" s="13" t="str">
        <f aca="false">IF(COUNT(B18:G18)&lt;6,"",SUM(B18:G18))</f>
        <v/>
      </c>
      <c r="I18" s="29" t="str">
        <f aca="false">IF(H18="","",H18/30)</f>
        <v/>
      </c>
      <c r="J18" s="7" t="str">
        <f aca="false">IF(I18="","",IF(I18&gt;=0.8,"Boardroom-ready",IF(I18&gt;=0.6,"Berkembang","Perlu latihan")))</f>
        <v/>
      </c>
    </row>
    <row r="19" customFormat="false" ht="15" hidden="false" customHeight="false" outlineLevel="0" collapsed="false">
      <c r="A19" s="14"/>
      <c r="B19" s="12"/>
      <c r="C19" s="12"/>
      <c r="D19" s="12"/>
      <c r="E19" s="12"/>
      <c r="F19" s="12"/>
      <c r="G19" s="12"/>
      <c r="H19" s="13" t="str">
        <f aca="false">IF(COUNT(B19:G19)&lt;6,"",SUM(B19:G19))</f>
        <v/>
      </c>
      <c r="I19" s="29" t="str">
        <f aca="false">IF(H19="","",H19/30)</f>
        <v/>
      </c>
      <c r="J19" s="7" t="str">
        <f aca="false">IF(I19="","",IF(I19&gt;=0.8,"Boardroom-ready",IF(I19&gt;=0.6,"Berkembang","Perlu latihan")))</f>
        <v/>
      </c>
    </row>
    <row r="20" customFormat="false" ht="15" hidden="false" customHeight="false" outlineLevel="0" collapsed="false">
      <c r="A20" s="14"/>
      <c r="B20" s="12"/>
      <c r="C20" s="12"/>
      <c r="D20" s="12"/>
      <c r="E20" s="12"/>
      <c r="F20" s="12"/>
      <c r="G20" s="12"/>
      <c r="H20" s="13" t="str">
        <f aca="false">IF(COUNT(B20:G20)&lt;6,"",SUM(B20:G20))</f>
        <v/>
      </c>
      <c r="I20" s="29" t="str">
        <f aca="false">IF(H20="","",H20/30)</f>
        <v/>
      </c>
      <c r="J20" s="7" t="str">
        <f aca="false">IF(I20="","",IF(I20&gt;=0.8,"Boardroom-ready",IF(I20&gt;=0.6,"Berkembang","Perlu latihan")))</f>
        <v/>
      </c>
    </row>
    <row r="21" customFormat="false" ht="15" hidden="false" customHeight="false" outlineLevel="0" collapsed="false">
      <c r="A21" s="14"/>
      <c r="B21" s="12"/>
      <c r="C21" s="12"/>
      <c r="D21" s="12"/>
      <c r="E21" s="12"/>
      <c r="F21" s="12"/>
      <c r="G21" s="12"/>
      <c r="H21" s="13" t="str">
        <f aca="false">IF(COUNT(B21:G21)&lt;6,"",SUM(B21:G21))</f>
        <v/>
      </c>
      <c r="I21" s="29" t="str">
        <f aca="false">IF(H21="","",H21/30)</f>
        <v/>
      </c>
      <c r="J21" s="7" t="str">
        <f aca="false">IF(I21="","",IF(I21&gt;=0.8,"Boardroom-ready",IF(I21&gt;=0.6,"Berkembang","Perlu latihan")))</f>
        <v/>
      </c>
    </row>
    <row r="22" customFormat="false" ht="15" hidden="false" customHeight="false" outlineLevel="0" collapsed="false">
      <c r="A22" s="14"/>
      <c r="B22" s="12"/>
      <c r="C22" s="12"/>
      <c r="D22" s="12"/>
      <c r="E22" s="12"/>
      <c r="F22" s="12"/>
      <c r="G22" s="12"/>
      <c r="H22" s="13" t="str">
        <f aca="false">IF(COUNT(B22:G22)&lt;6,"",SUM(B22:G22))</f>
        <v/>
      </c>
      <c r="I22" s="29" t="str">
        <f aca="false">IF(H22="","",H22/30)</f>
        <v/>
      </c>
      <c r="J22" s="7" t="str">
        <f aca="false">IF(I22="","",IF(I22&gt;=0.8,"Boardroom-ready",IF(I22&gt;=0.6,"Berkembang","Perlu latihan")))</f>
        <v/>
      </c>
    </row>
    <row r="23" customFormat="false" ht="15" hidden="false" customHeight="false" outlineLevel="0" collapsed="false">
      <c r="A23" s="14"/>
      <c r="B23" s="12"/>
      <c r="C23" s="12"/>
      <c r="D23" s="12"/>
      <c r="E23" s="12"/>
      <c r="F23" s="12"/>
      <c r="G23" s="12"/>
      <c r="H23" s="13" t="str">
        <f aca="false">IF(COUNT(B23:G23)&lt;6,"",SUM(B23:G23))</f>
        <v/>
      </c>
      <c r="I23" s="29" t="str">
        <f aca="false">IF(H23="","",H23/30)</f>
        <v/>
      </c>
      <c r="J23" s="7" t="str">
        <f aca="false">IF(I23="","",IF(I23&gt;=0.8,"Boardroom-ready",IF(I23&gt;=0.6,"Berkembang","Perlu latihan")))</f>
        <v/>
      </c>
    </row>
    <row r="24" customFormat="false" ht="15" hidden="false" customHeight="false" outlineLevel="0" collapsed="false">
      <c r="A24" s="14"/>
      <c r="B24" s="12"/>
      <c r="C24" s="12"/>
      <c r="D24" s="12"/>
      <c r="E24" s="12"/>
      <c r="F24" s="12"/>
      <c r="G24" s="12"/>
      <c r="H24" s="13" t="str">
        <f aca="false">IF(COUNT(B24:G24)&lt;6,"",SUM(B24:G24))</f>
        <v/>
      </c>
      <c r="I24" s="29" t="str">
        <f aca="false">IF(H24="","",H24/30)</f>
        <v/>
      </c>
      <c r="J24" s="7" t="str">
        <f aca="false">IF(I24="","",IF(I24&gt;=0.8,"Boardroom-ready",IF(I24&gt;=0.6,"Berkembang","Perlu latihan")))</f>
        <v/>
      </c>
    </row>
    <row r="25" customFormat="false" ht="15" hidden="false" customHeight="false" outlineLevel="0" collapsed="false">
      <c r="A25" s="14"/>
      <c r="B25" s="12"/>
      <c r="C25" s="12"/>
      <c r="D25" s="12"/>
      <c r="E25" s="12"/>
      <c r="F25" s="12"/>
      <c r="G25" s="12"/>
      <c r="H25" s="13" t="str">
        <f aca="false">IF(COUNT(B25:G25)&lt;6,"",SUM(B25:G25))</f>
        <v/>
      </c>
      <c r="I25" s="29" t="str">
        <f aca="false">IF(H25="","",H25/30)</f>
        <v/>
      </c>
      <c r="J25" s="7" t="str">
        <f aca="false">IF(I25="","",IF(I25&gt;=0.8,"Boardroom-ready",IF(I25&gt;=0.6,"Berkembang","Perlu latihan")))</f>
        <v/>
      </c>
    </row>
    <row r="26" customFormat="false" ht="15" hidden="false" customHeight="false" outlineLevel="0" collapsed="false">
      <c r="A26" s="14"/>
      <c r="B26" s="12"/>
      <c r="C26" s="12"/>
      <c r="D26" s="12"/>
      <c r="E26" s="12"/>
      <c r="F26" s="12"/>
      <c r="G26" s="12"/>
      <c r="H26" s="13" t="str">
        <f aca="false">IF(COUNT(B26:G26)&lt;6,"",SUM(B26:G26))</f>
        <v/>
      </c>
      <c r="I26" s="29" t="str">
        <f aca="false">IF(H26="","",H26/30)</f>
        <v/>
      </c>
      <c r="J26" s="7" t="str">
        <f aca="false">IF(I26="","",IF(I26&gt;=0.8,"Boardroom-ready",IF(I26&gt;=0.6,"Berkembang","Perlu latihan")))</f>
        <v/>
      </c>
    </row>
    <row r="27" customFormat="false" ht="15" hidden="false" customHeight="false" outlineLevel="0" collapsed="false">
      <c r="A27" s="14"/>
      <c r="B27" s="12"/>
      <c r="C27" s="12"/>
      <c r="D27" s="12"/>
      <c r="E27" s="12"/>
      <c r="F27" s="12"/>
      <c r="G27" s="12"/>
      <c r="H27" s="13" t="str">
        <f aca="false">IF(COUNT(B27:G27)&lt;6,"",SUM(B27:G27))</f>
        <v/>
      </c>
      <c r="I27" s="29" t="str">
        <f aca="false">IF(H27="","",H27/30)</f>
        <v/>
      </c>
      <c r="J27" s="7" t="str">
        <f aca="false">IF(I27="","",IF(I27&gt;=0.8,"Boardroom-ready",IF(I27&gt;=0.6,"Berkembang","Perlu latihan")))</f>
        <v/>
      </c>
    </row>
    <row r="28" customFormat="false" ht="15" hidden="false" customHeight="false" outlineLevel="0" collapsed="false">
      <c r="A28" s="14"/>
      <c r="B28" s="12"/>
      <c r="C28" s="12"/>
      <c r="D28" s="12"/>
      <c r="E28" s="12"/>
      <c r="F28" s="12"/>
      <c r="G28" s="12"/>
      <c r="H28" s="13" t="str">
        <f aca="false">IF(COUNT(B28:G28)&lt;6,"",SUM(B28:G28))</f>
        <v/>
      </c>
      <c r="I28" s="29" t="str">
        <f aca="false">IF(H28="","",H28/30)</f>
        <v/>
      </c>
      <c r="J28" s="7" t="str">
        <f aca="false">IF(I28="","",IF(I28&gt;=0.8,"Boardroom-ready",IF(I28&gt;=0.6,"Berkembang","Perlu latihan")))</f>
        <v/>
      </c>
    </row>
    <row r="29" customFormat="false" ht="15" hidden="false" customHeight="false" outlineLevel="0" collapsed="false">
      <c r="A29" s="14"/>
      <c r="B29" s="12"/>
      <c r="C29" s="12"/>
      <c r="D29" s="12"/>
      <c r="E29" s="12"/>
      <c r="F29" s="12"/>
      <c r="G29" s="12"/>
      <c r="H29" s="13" t="str">
        <f aca="false">IF(COUNT(B29:G29)&lt;6,"",SUM(B29:G29))</f>
        <v/>
      </c>
      <c r="I29" s="29" t="str">
        <f aca="false">IF(H29="","",H29/30)</f>
        <v/>
      </c>
      <c r="J29" s="7" t="str">
        <f aca="false">IF(I29="","",IF(I29&gt;=0.8,"Boardroom-ready",IF(I29&gt;=0.6,"Berkembang","Perlu latihan")))</f>
        <v/>
      </c>
    </row>
    <row r="30" customFormat="false" ht="15" hidden="false" customHeight="false" outlineLevel="0" collapsed="false">
      <c r="A30" s="14"/>
      <c r="B30" s="12"/>
      <c r="C30" s="12"/>
      <c r="D30" s="12"/>
      <c r="E30" s="12"/>
      <c r="F30" s="12"/>
      <c r="G30" s="12"/>
      <c r="H30" s="13" t="str">
        <f aca="false">IF(COUNT(B30:G30)&lt;6,"",SUM(B30:G30))</f>
        <v/>
      </c>
      <c r="I30" s="29" t="str">
        <f aca="false">IF(H30="","",H30/30)</f>
        <v/>
      </c>
      <c r="J30" s="7" t="str">
        <f aca="false">IF(I30="","",IF(I30&gt;=0.8,"Boardroom-ready",IF(I30&gt;=0.6,"Berkembang","Perlu latihan")))</f>
        <v/>
      </c>
    </row>
    <row r="31" customFormat="false" ht="15" hidden="false" customHeight="false" outlineLevel="0" collapsed="false">
      <c r="A31" s="14"/>
      <c r="B31" s="12"/>
      <c r="C31" s="12"/>
      <c r="D31" s="12"/>
      <c r="E31" s="12"/>
      <c r="F31" s="12"/>
      <c r="G31" s="12"/>
      <c r="H31" s="13" t="str">
        <f aca="false">IF(COUNT(B31:G31)&lt;6,"",SUM(B31:G31))</f>
        <v/>
      </c>
      <c r="I31" s="29" t="str">
        <f aca="false">IF(H31="","",H31/30)</f>
        <v/>
      </c>
      <c r="J31" s="7" t="str">
        <f aca="false">IF(I31="","",IF(I31&gt;=0.8,"Boardroom-ready",IF(I31&gt;=0.6,"Berkembang","Perlu latihan")))</f>
        <v/>
      </c>
    </row>
    <row r="32" customFormat="false" ht="15" hidden="false" customHeight="false" outlineLevel="0" collapsed="false">
      <c r="A32" s="14"/>
      <c r="B32" s="12"/>
      <c r="C32" s="12"/>
      <c r="D32" s="12"/>
      <c r="E32" s="12"/>
      <c r="F32" s="12"/>
      <c r="G32" s="12"/>
      <c r="H32" s="13" t="str">
        <f aca="false">IF(COUNT(B32:G32)&lt;6,"",SUM(B32:G32))</f>
        <v/>
      </c>
      <c r="I32" s="29" t="str">
        <f aca="false">IF(H32="","",H32/30)</f>
        <v/>
      </c>
      <c r="J32" s="7" t="str">
        <f aca="false">IF(I32="","",IF(I32&gt;=0.8,"Boardroom-ready",IF(I32&gt;=0.6,"Berkembang","Perlu latihan")))</f>
        <v/>
      </c>
    </row>
    <row r="33" customFormat="false" ht="15" hidden="false" customHeight="false" outlineLevel="0" collapsed="false">
      <c r="A33" s="14"/>
      <c r="B33" s="12"/>
      <c r="C33" s="12"/>
      <c r="D33" s="12"/>
      <c r="E33" s="12"/>
      <c r="F33" s="12"/>
      <c r="G33" s="12"/>
      <c r="H33" s="13" t="str">
        <f aca="false">IF(COUNT(B33:G33)&lt;6,"",SUM(B33:G33))</f>
        <v/>
      </c>
      <c r="I33" s="29" t="str">
        <f aca="false">IF(H33="","",H33/30)</f>
        <v/>
      </c>
      <c r="J33" s="7" t="str">
        <f aca="false">IF(I33="","",IF(I33&gt;=0.8,"Boardroom-ready",IF(I33&gt;=0.6,"Berkembang","Perlu latihan")))</f>
        <v/>
      </c>
    </row>
    <row r="34" customFormat="false" ht="15" hidden="false" customHeight="false" outlineLevel="0" collapsed="false">
      <c r="A34" s="14"/>
      <c r="B34" s="12"/>
      <c r="C34" s="12"/>
      <c r="D34" s="12"/>
      <c r="E34" s="12"/>
      <c r="F34" s="12"/>
      <c r="G34" s="12"/>
      <c r="H34" s="13" t="str">
        <f aca="false">IF(COUNT(B34:G34)&lt;6,"",SUM(B34:G34))</f>
        <v/>
      </c>
      <c r="I34" s="29" t="str">
        <f aca="false">IF(H34="","",H34/30)</f>
        <v/>
      </c>
      <c r="J34" s="7" t="str">
        <f aca="false">IF(I34="","",IF(I34&gt;=0.8,"Boardroom-ready",IF(I34&gt;=0.6,"Berkembang","Perlu latihan")))</f>
        <v/>
      </c>
    </row>
    <row r="35" customFormat="false" ht="15" hidden="false" customHeight="false" outlineLevel="0" collapsed="false">
      <c r="A35" s="14"/>
      <c r="B35" s="12"/>
      <c r="C35" s="12"/>
      <c r="D35" s="12"/>
      <c r="E35" s="12"/>
      <c r="F35" s="12"/>
      <c r="G35" s="12"/>
      <c r="H35" s="13" t="str">
        <f aca="false">IF(COUNT(B35:G35)&lt;6,"",SUM(B35:G35))</f>
        <v/>
      </c>
      <c r="I35" s="29" t="str">
        <f aca="false">IF(H35="","",H35/30)</f>
        <v/>
      </c>
      <c r="J35" s="7" t="str">
        <f aca="false">IF(I35="","",IF(I35&gt;=0.8,"Boardroom-ready",IF(I35&gt;=0.6,"Berkembang","Perlu latihan")))</f>
        <v/>
      </c>
    </row>
  </sheetData>
  <dataValidations count="1">
    <dataValidation allowBlank="true" error="Isi angka 1–5" errorStyle="stop" operator="between" showDropDown="false" showErrorMessage="true" showInputMessage="false" sqref="B6:G3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6" min="3" style="0" width="26"/>
    <col collapsed="false" customWidth="true" hidden="false" outlineLevel="0" max="7" min="7" style="0" width="8"/>
  </cols>
  <sheetData>
    <row r="1" customFormat="false" ht="27.75" hidden="false" customHeight="true" outlineLevel="0" collapsed="false">
      <c r="A1" s="9" t="s">
        <v>61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0" t="s">
        <v>62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232</v>
      </c>
      <c r="B5" s="5" t="s">
        <v>233</v>
      </c>
      <c r="C5" s="5" t="s">
        <v>302</v>
      </c>
      <c r="D5" s="5" t="s">
        <v>614</v>
      </c>
      <c r="E5" s="5" t="s">
        <v>301</v>
      </c>
      <c r="F5" s="5" t="s">
        <v>615</v>
      </c>
      <c r="G5" s="5" t="s">
        <v>616</v>
      </c>
    </row>
    <row r="6" customFormat="false" ht="42" hidden="false" customHeight="true" outlineLevel="0" collapsed="false">
      <c r="A6" s="13" t="n">
        <v>1</v>
      </c>
      <c r="B6" s="7" t="s">
        <v>617</v>
      </c>
      <c r="C6" s="7" t="s">
        <v>618</v>
      </c>
      <c r="D6" s="7" t="s">
        <v>619</v>
      </c>
      <c r="E6" s="7" t="s">
        <v>620</v>
      </c>
      <c r="F6" s="7" t="s">
        <v>621</v>
      </c>
      <c r="G6" s="18" t="s">
        <v>614</v>
      </c>
    </row>
    <row r="7" customFormat="false" ht="42" hidden="false" customHeight="true" outlineLevel="0" collapsed="false">
      <c r="A7" s="13" t="n">
        <v>2</v>
      </c>
      <c r="B7" s="7" t="s">
        <v>622</v>
      </c>
      <c r="C7" s="7" t="s">
        <v>185</v>
      </c>
      <c r="D7" s="7" t="s">
        <v>182</v>
      </c>
      <c r="E7" s="7" t="s">
        <v>179</v>
      </c>
      <c r="F7" s="7" t="s">
        <v>176</v>
      </c>
      <c r="G7" s="18" t="s">
        <v>615</v>
      </c>
    </row>
    <row r="8" customFormat="false" ht="42" hidden="false" customHeight="true" outlineLevel="0" collapsed="false">
      <c r="A8" s="13" t="n">
        <v>3</v>
      </c>
      <c r="B8" s="7" t="s">
        <v>623</v>
      </c>
      <c r="C8" s="7" t="s">
        <v>624</v>
      </c>
      <c r="D8" s="7" t="s">
        <v>625</v>
      </c>
      <c r="E8" s="7" t="s">
        <v>626</v>
      </c>
      <c r="F8" s="7" t="s">
        <v>627</v>
      </c>
      <c r="G8" s="18" t="s">
        <v>614</v>
      </c>
    </row>
    <row r="9" customFormat="false" ht="42" hidden="false" customHeight="true" outlineLevel="0" collapsed="false">
      <c r="A9" s="13" t="n">
        <v>4</v>
      </c>
      <c r="B9" s="7" t="s">
        <v>628</v>
      </c>
      <c r="C9" s="7" t="s">
        <v>339</v>
      </c>
      <c r="D9" s="7" t="s">
        <v>629</v>
      </c>
      <c r="E9" s="7" t="s">
        <v>477</v>
      </c>
      <c r="F9" s="7" t="s">
        <v>630</v>
      </c>
      <c r="G9" s="18" t="s">
        <v>302</v>
      </c>
    </row>
    <row r="10" customFormat="false" ht="42" hidden="false" customHeight="true" outlineLevel="0" collapsed="false">
      <c r="A10" s="13" t="n">
        <v>5</v>
      </c>
      <c r="B10" s="7" t="s">
        <v>631</v>
      </c>
      <c r="C10" s="7" t="s">
        <v>454</v>
      </c>
      <c r="D10" s="7" t="s">
        <v>632</v>
      </c>
      <c r="E10" s="7" t="s">
        <v>477</v>
      </c>
      <c r="F10" s="7" t="s">
        <v>412</v>
      </c>
      <c r="G10" s="18" t="s">
        <v>301</v>
      </c>
    </row>
    <row r="11" customFormat="false" ht="42" hidden="false" customHeight="true" outlineLevel="0" collapsed="false">
      <c r="A11" s="13" t="n">
        <v>6</v>
      </c>
      <c r="B11" s="7" t="s">
        <v>633</v>
      </c>
      <c r="C11" s="7" t="s">
        <v>634</v>
      </c>
      <c r="D11" s="7" t="s">
        <v>635</v>
      </c>
      <c r="E11" s="7" t="s">
        <v>636</v>
      </c>
      <c r="F11" s="7" t="s">
        <v>637</v>
      </c>
      <c r="G11" s="18" t="s">
        <v>615</v>
      </c>
    </row>
    <row r="12" customFormat="false" ht="42" hidden="false" customHeight="true" outlineLevel="0" collapsed="false">
      <c r="A12" s="13" t="n">
        <v>7</v>
      </c>
      <c r="B12" s="7" t="s">
        <v>638</v>
      </c>
      <c r="C12" s="7" t="s">
        <v>309</v>
      </c>
      <c r="D12" s="7" t="s">
        <v>307</v>
      </c>
      <c r="E12" s="7" t="s">
        <v>311</v>
      </c>
      <c r="F12" s="7" t="s">
        <v>313</v>
      </c>
      <c r="G12" s="18" t="s">
        <v>302</v>
      </c>
    </row>
    <row r="13" customFormat="false" ht="42" hidden="false" customHeight="true" outlineLevel="0" collapsed="false">
      <c r="A13" s="13" t="n">
        <v>8</v>
      </c>
      <c r="B13" s="7" t="s">
        <v>639</v>
      </c>
      <c r="C13" s="7" t="s">
        <v>640</v>
      </c>
      <c r="D13" s="7" t="s">
        <v>641</v>
      </c>
      <c r="E13" s="7" t="s">
        <v>642</v>
      </c>
      <c r="F13" s="7" t="s">
        <v>643</v>
      </c>
      <c r="G13" s="18" t="s">
        <v>614</v>
      </c>
    </row>
    <row r="14" customFormat="false" ht="42" hidden="false" customHeight="true" outlineLevel="0" collapsed="false">
      <c r="A14" s="13" t="n">
        <v>9</v>
      </c>
      <c r="B14" s="7" t="s">
        <v>644</v>
      </c>
      <c r="C14" s="7" t="s">
        <v>645</v>
      </c>
      <c r="D14" s="7" t="s">
        <v>646</v>
      </c>
      <c r="E14" s="7" t="s">
        <v>647</v>
      </c>
      <c r="F14" s="7" t="s">
        <v>648</v>
      </c>
      <c r="G14" s="18" t="s">
        <v>301</v>
      </c>
    </row>
    <row r="15" customFormat="false" ht="42" hidden="false" customHeight="true" outlineLevel="0" collapsed="false">
      <c r="A15" s="13" t="n">
        <v>10</v>
      </c>
      <c r="B15" s="7" t="s">
        <v>649</v>
      </c>
      <c r="C15" s="7" t="s">
        <v>120</v>
      </c>
      <c r="D15" s="7" t="s">
        <v>376</v>
      </c>
      <c r="E15" s="7" t="s">
        <v>379</v>
      </c>
      <c r="F15" s="7" t="s">
        <v>650</v>
      </c>
      <c r="G15" s="18" t="s">
        <v>615</v>
      </c>
    </row>
    <row r="16" customFormat="false" ht="42" hidden="false" customHeight="true" outlineLevel="0" collapsed="false">
      <c r="A16" s="13" t="n">
        <v>11</v>
      </c>
      <c r="B16" s="7" t="s">
        <v>651</v>
      </c>
      <c r="C16" s="7" t="s">
        <v>652</v>
      </c>
      <c r="D16" s="7" t="s">
        <v>410</v>
      </c>
      <c r="E16" s="7" t="s">
        <v>653</v>
      </c>
      <c r="F16" s="7" t="s">
        <v>654</v>
      </c>
      <c r="G16" s="18" t="s">
        <v>302</v>
      </c>
    </row>
    <row r="17" customFormat="false" ht="42" hidden="false" customHeight="true" outlineLevel="0" collapsed="false">
      <c r="A17" s="13" t="n">
        <v>12</v>
      </c>
      <c r="B17" s="7" t="s">
        <v>655</v>
      </c>
      <c r="C17" s="7" t="s">
        <v>656</v>
      </c>
      <c r="D17" s="7" t="s">
        <v>426</v>
      </c>
      <c r="E17" s="7" t="s">
        <v>654</v>
      </c>
      <c r="F17" s="7" t="s">
        <v>657</v>
      </c>
      <c r="G17" s="18" t="s">
        <v>301</v>
      </c>
    </row>
    <row r="18" customFormat="false" ht="42" hidden="false" customHeight="true" outlineLevel="0" collapsed="false">
      <c r="A18" s="13" t="n">
        <v>13</v>
      </c>
      <c r="B18" s="7" t="s">
        <v>658</v>
      </c>
      <c r="C18" s="7" t="s">
        <v>659</v>
      </c>
      <c r="D18" s="7" t="s">
        <v>660</v>
      </c>
      <c r="E18" s="7" t="s">
        <v>661</v>
      </c>
      <c r="F18" s="7" t="s">
        <v>662</v>
      </c>
      <c r="G18" s="18" t="s">
        <v>614</v>
      </c>
    </row>
    <row r="19" customFormat="false" ht="42" hidden="false" customHeight="true" outlineLevel="0" collapsed="false">
      <c r="A19" s="13" t="n">
        <v>14</v>
      </c>
      <c r="B19" s="7" t="s">
        <v>663</v>
      </c>
      <c r="C19" s="7" t="s">
        <v>664</v>
      </c>
      <c r="D19" s="7" t="s">
        <v>665</v>
      </c>
      <c r="E19" s="7" t="s">
        <v>666</v>
      </c>
      <c r="F19" s="7" t="s">
        <v>667</v>
      </c>
      <c r="G19" s="18" t="s">
        <v>301</v>
      </c>
    </row>
    <row r="20" customFormat="false" ht="42" hidden="false" customHeight="true" outlineLevel="0" collapsed="false">
      <c r="A20" s="13" t="n">
        <v>15</v>
      </c>
      <c r="B20" s="7" t="s">
        <v>668</v>
      </c>
      <c r="C20" s="7" t="s">
        <v>669</v>
      </c>
      <c r="D20" s="7" t="s">
        <v>670</v>
      </c>
      <c r="E20" s="7" t="s">
        <v>671</v>
      </c>
      <c r="F20" s="7" t="s">
        <v>672</v>
      </c>
      <c r="G20" s="18" t="s">
        <v>615</v>
      </c>
    </row>
    <row r="21" customFormat="false" ht="42" hidden="false" customHeight="true" outlineLevel="0" collapsed="false">
      <c r="A21" s="13" t="n">
        <v>16</v>
      </c>
      <c r="B21" s="7" t="s">
        <v>673</v>
      </c>
      <c r="C21" s="7" t="s">
        <v>674</v>
      </c>
      <c r="D21" s="7" t="s">
        <v>675</v>
      </c>
      <c r="E21" s="7" t="s">
        <v>676</v>
      </c>
      <c r="F21" s="7" t="s">
        <v>677</v>
      </c>
      <c r="G21" s="18" t="s">
        <v>302</v>
      </c>
    </row>
    <row r="22" customFormat="false" ht="42" hidden="false" customHeight="true" outlineLevel="0" collapsed="false">
      <c r="A22" s="13" t="n">
        <v>17</v>
      </c>
      <c r="B22" s="7" t="s">
        <v>678</v>
      </c>
      <c r="C22" s="7" t="s">
        <v>679</v>
      </c>
      <c r="D22" s="7" t="s">
        <v>680</v>
      </c>
      <c r="E22" s="7" t="s">
        <v>681</v>
      </c>
      <c r="F22" s="7" t="s">
        <v>682</v>
      </c>
      <c r="G22" s="18" t="s">
        <v>614</v>
      </c>
    </row>
    <row r="23" customFormat="false" ht="42" hidden="false" customHeight="true" outlineLevel="0" collapsed="false">
      <c r="A23" s="13" t="n">
        <v>18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18" t="s">
        <v>301</v>
      </c>
    </row>
    <row r="24" customFormat="false" ht="42" hidden="false" customHeight="true" outlineLevel="0" collapsed="false">
      <c r="A24" s="13" t="n">
        <v>19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18" t="s">
        <v>615</v>
      </c>
    </row>
    <row r="25" customFormat="false" ht="42" hidden="false" customHeight="true" outlineLevel="0" collapsed="false">
      <c r="A25" s="13" t="n">
        <v>20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18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23" min="4" style="0" width="4.5"/>
    <col collapsed="false" customWidth="true" hidden="false" outlineLevel="0" max="24" min="24" style="0" width="9"/>
  </cols>
  <sheetData>
    <row r="1" customFormat="false" ht="27.75" hidden="false" customHeight="true" outlineLevel="0" collapsed="false">
      <c r="A1" s="9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0" t="s">
        <v>65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232</v>
      </c>
      <c r="B5" s="5" t="s">
        <v>698</v>
      </c>
      <c r="C5" s="5" t="s">
        <v>699</v>
      </c>
      <c r="D5" s="5" t="s">
        <v>700</v>
      </c>
      <c r="E5" s="5" t="s">
        <v>701</v>
      </c>
      <c r="F5" s="5" t="s">
        <v>702</v>
      </c>
      <c r="G5" s="5" t="s">
        <v>703</v>
      </c>
      <c r="H5" s="5" t="s">
        <v>704</v>
      </c>
      <c r="I5" s="5" t="s">
        <v>705</v>
      </c>
      <c r="J5" s="5" t="s">
        <v>706</v>
      </c>
      <c r="K5" s="5" t="s">
        <v>707</v>
      </c>
      <c r="L5" s="5" t="s">
        <v>708</v>
      </c>
      <c r="M5" s="5" t="s">
        <v>709</v>
      </c>
      <c r="N5" s="5" t="s">
        <v>710</v>
      </c>
      <c r="O5" s="5" t="s">
        <v>711</v>
      </c>
      <c r="P5" s="5" t="s">
        <v>712</v>
      </c>
      <c r="Q5" s="5" t="s">
        <v>713</v>
      </c>
      <c r="R5" s="5" t="s">
        <v>714</v>
      </c>
      <c r="S5" s="5" t="s">
        <v>715</v>
      </c>
      <c r="T5" s="5" t="s">
        <v>716</v>
      </c>
      <c r="U5" s="5" t="s">
        <v>717</v>
      </c>
      <c r="V5" s="5" t="s">
        <v>718</v>
      </c>
      <c r="W5" s="5" t="s">
        <v>719</v>
      </c>
      <c r="X5" s="5" t="s">
        <v>156</v>
      </c>
    </row>
    <row r="6" customFormat="false" ht="15" hidden="false" customHeight="false" outlineLevel="0" collapsed="false">
      <c r="B6" s="8" t="s">
        <v>720</v>
      </c>
      <c r="D6" s="21" t="str">
        <f aca="false">'19 Pre-Post Test'!G6</f>
        <v>B</v>
      </c>
      <c r="E6" s="21" t="str">
        <f aca="false">'19 Pre-Post Test'!G7</f>
        <v>D</v>
      </c>
      <c r="F6" s="21" t="str">
        <f aca="false">'19 Pre-Post Test'!G8</f>
        <v>B</v>
      </c>
      <c r="G6" s="21" t="str">
        <f aca="false">'19 Pre-Post Test'!G9</f>
        <v>A</v>
      </c>
      <c r="H6" s="21" t="str">
        <f aca="false">'19 Pre-Post Test'!G10</f>
        <v>C</v>
      </c>
      <c r="I6" s="21" t="str">
        <f aca="false">'19 Pre-Post Test'!G11</f>
        <v>D</v>
      </c>
      <c r="J6" s="21" t="str">
        <f aca="false">'19 Pre-Post Test'!G12</f>
        <v>A</v>
      </c>
      <c r="K6" s="21" t="str">
        <f aca="false">'19 Pre-Post Test'!G13</f>
        <v>B</v>
      </c>
      <c r="L6" s="21" t="str">
        <f aca="false">'19 Pre-Post Test'!G14</f>
        <v>C</v>
      </c>
      <c r="M6" s="21" t="str">
        <f aca="false">'19 Pre-Post Test'!G15</f>
        <v>D</v>
      </c>
      <c r="N6" s="21" t="str">
        <f aca="false">'19 Pre-Post Test'!G16</f>
        <v>A</v>
      </c>
      <c r="O6" s="21" t="str">
        <f aca="false">'19 Pre-Post Test'!G17</f>
        <v>C</v>
      </c>
      <c r="P6" s="21" t="str">
        <f aca="false">'19 Pre-Post Test'!G18</f>
        <v>B</v>
      </c>
      <c r="Q6" s="21" t="str">
        <f aca="false">'19 Pre-Post Test'!G19</f>
        <v>C</v>
      </c>
      <c r="R6" s="21" t="str">
        <f aca="false">'19 Pre-Post Test'!G20</f>
        <v>D</v>
      </c>
      <c r="S6" s="21" t="str">
        <f aca="false">'19 Pre-Post Test'!G21</f>
        <v>A</v>
      </c>
      <c r="T6" s="21" t="str">
        <f aca="false">'19 Pre-Post Test'!G22</f>
        <v>B</v>
      </c>
      <c r="U6" s="21" t="str">
        <f aca="false">'19 Pre-Post Test'!G23</f>
        <v>C</v>
      </c>
      <c r="V6" s="21" t="str">
        <f aca="false">'19 Pre-Post Test'!G24</f>
        <v>D</v>
      </c>
      <c r="W6" s="21" t="str">
        <f aca="false">'19 Pre-Post Test'!G25</f>
        <v>B</v>
      </c>
    </row>
    <row r="7" customFormat="false" ht="15" hidden="false" customHeight="false" outlineLevel="0" collapsed="false">
      <c r="A7" s="13" t="n">
        <v>1</v>
      </c>
      <c r="B7" s="14"/>
      <c r="C7" s="35" t="s">
        <v>721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7" t="str">
        <f aca="false">IF(COUNTA(D7:W7)=0,"",SUMPRODUCT(--(UPPER(D7:W7)=$D$6:$W$6))*5)</f>
        <v/>
      </c>
    </row>
    <row r="8" customFormat="false" ht="15" hidden="false" customHeight="false" outlineLevel="0" collapsed="false">
      <c r="A8" s="13"/>
      <c r="B8" s="7" t="n">
        <f aca="false">B7</f>
        <v>0</v>
      </c>
      <c r="C8" s="35" t="s">
        <v>722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7" t="str">
        <f aca="false">IF(COUNTA(D8:W8)=0,"",SUMPRODUCT(--(UPPER(D8:W8)=$D$6:$W$6))*5)</f>
        <v/>
      </c>
    </row>
    <row r="9" customFormat="false" ht="15" hidden="false" customHeight="false" outlineLevel="0" collapsed="false">
      <c r="A9" s="13" t="n">
        <v>2</v>
      </c>
      <c r="B9" s="14"/>
      <c r="C9" s="35" t="s">
        <v>721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27" t="str">
        <f aca="false">IF(COUNTA(D9:W9)=0,"",SUMPRODUCT(--(UPPER(D9:W9)=$D$6:$W$6))*5)</f>
        <v/>
      </c>
    </row>
    <row r="10" customFormat="false" ht="15" hidden="false" customHeight="false" outlineLevel="0" collapsed="false">
      <c r="A10" s="13"/>
      <c r="B10" s="7" t="n">
        <f aca="false">B9</f>
        <v>0</v>
      </c>
      <c r="C10" s="35" t="s">
        <v>722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7" t="str">
        <f aca="false">IF(COUNTA(D10:W10)=0,"",SUMPRODUCT(--(UPPER(D10:W10)=$D$6:$W$6))*5)</f>
        <v/>
      </c>
    </row>
    <row r="11" customFormat="false" ht="15" hidden="false" customHeight="false" outlineLevel="0" collapsed="false">
      <c r="A11" s="13" t="n">
        <v>3</v>
      </c>
      <c r="B11" s="14"/>
      <c r="C11" s="35" t="s">
        <v>721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7" t="str">
        <f aca="false">IF(COUNTA(D11:W11)=0,"",SUMPRODUCT(--(UPPER(D11:W11)=$D$6:$W$6))*5)</f>
        <v/>
      </c>
    </row>
    <row r="12" customFormat="false" ht="15" hidden="false" customHeight="false" outlineLevel="0" collapsed="false">
      <c r="A12" s="13"/>
      <c r="B12" s="7" t="n">
        <f aca="false">B11</f>
        <v>0</v>
      </c>
      <c r="C12" s="35" t="s">
        <v>722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7" t="str">
        <f aca="false">IF(COUNTA(D12:W12)=0,"",SUMPRODUCT(--(UPPER(D12:W12)=$D$6:$W$6))*5)</f>
        <v/>
      </c>
    </row>
    <row r="13" customFormat="false" ht="15" hidden="false" customHeight="false" outlineLevel="0" collapsed="false">
      <c r="A13" s="13" t="n">
        <v>4</v>
      </c>
      <c r="B13" s="14"/>
      <c r="C13" s="35" t="s">
        <v>721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7" t="str">
        <f aca="false">IF(COUNTA(D13:W13)=0,"",SUMPRODUCT(--(UPPER(D13:W13)=$D$6:$W$6))*5)</f>
        <v/>
      </c>
    </row>
    <row r="14" customFormat="false" ht="15" hidden="false" customHeight="false" outlineLevel="0" collapsed="false">
      <c r="A14" s="13"/>
      <c r="B14" s="7" t="n">
        <f aca="false">B13</f>
        <v>0</v>
      </c>
      <c r="C14" s="35" t="s">
        <v>722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7" t="str">
        <f aca="false">IF(COUNTA(D14:W14)=0,"",SUMPRODUCT(--(UPPER(D14:W14)=$D$6:$W$6))*5)</f>
        <v/>
      </c>
    </row>
    <row r="15" customFormat="false" ht="15" hidden="false" customHeight="false" outlineLevel="0" collapsed="false">
      <c r="A15" s="13" t="n">
        <v>5</v>
      </c>
      <c r="B15" s="14"/>
      <c r="C15" s="35" t="s">
        <v>721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7" t="str">
        <f aca="false">IF(COUNTA(D15:W15)=0,"",SUMPRODUCT(--(UPPER(D15:W15)=$D$6:$W$6))*5)</f>
        <v/>
      </c>
    </row>
    <row r="16" customFormat="false" ht="15" hidden="false" customHeight="false" outlineLevel="0" collapsed="false">
      <c r="A16" s="13"/>
      <c r="B16" s="7" t="n">
        <f aca="false">B15</f>
        <v>0</v>
      </c>
      <c r="C16" s="35" t="s">
        <v>722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7" t="str">
        <f aca="false">IF(COUNTA(D16:W16)=0,"",SUMPRODUCT(--(UPPER(D16:W16)=$D$6:$W$6))*5)</f>
        <v/>
      </c>
    </row>
    <row r="17" customFormat="false" ht="15" hidden="false" customHeight="false" outlineLevel="0" collapsed="false">
      <c r="A17" s="13" t="n">
        <v>6</v>
      </c>
      <c r="B17" s="14"/>
      <c r="C17" s="35" t="s">
        <v>721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27" t="str">
        <f aca="false">IF(COUNTA(D17:W17)=0,"",SUMPRODUCT(--(UPPER(D17:W17)=$D$6:$W$6))*5)</f>
        <v/>
      </c>
    </row>
    <row r="18" customFormat="false" ht="15" hidden="false" customHeight="false" outlineLevel="0" collapsed="false">
      <c r="A18" s="13"/>
      <c r="B18" s="7" t="n">
        <f aca="false">B17</f>
        <v>0</v>
      </c>
      <c r="C18" s="35" t="s">
        <v>722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7" t="str">
        <f aca="false">IF(COUNTA(D18:W18)=0,"",SUMPRODUCT(--(UPPER(D18:W18)=$D$6:$W$6))*5)</f>
        <v/>
      </c>
    </row>
    <row r="19" customFormat="false" ht="15" hidden="false" customHeight="false" outlineLevel="0" collapsed="false">
      <c r="A19" s="13" t="n">
        <v>7</v>
      </c>
      <c r="B19" s="14"/>
      <c r="C19" s="35" t="s">
        <v>721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7" t="str">
        <f aca="false">IF(COUNTA(D19:W19)=0,"",SUMPRODUCT(--(UPPER(D19:W19)=$D$6:$W$6))*5)</f>
        <v/>
      </c>
    </row>
    <row r="20" customFormat="false" ht="15" hidden="false" customHeight="false" outlineLevel="0" collapsed="false">
      <c r="A20" s="13"/>
      <c r="B20" s="7" t="n">
        <f aca="false">B19</f>
        <v>0</v>
      </c>
      <c r="C20" s="35" t="s">
        <v>722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7" t="str">
        <f aca="false">IF(COUNTA(D20:W20)=0,"",SUMPRODUCT(--(UPPER(D20:W20)=$D$6:$W$6))*5)</f>
        <v/>
      </c>
    </row>
    <row r="21" customFormat="false" ht="15" hidden="false" customHeight="false" outlineLevel="0" collapsed="false">
      <c r="A21" s="13" t="n">
        <v>8</v>
      </c>
      <c r="B21" s="14"/>
      <c r="C21" s="35" t="s">
        <v>721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27" t="str">
        <f aca="false">IF(COUNTA(D21:W21)=0,"",SUMPRODUCT(--(UPPER(D21:W21)=$D$6:$W$6))*5)</f>
        <v/>
      </c>
    </row>
    <row r="22" customFormat="false" ht="15" hidden="false" customHeight="false" outlineLevel="0" collapsed="false">
      <c r="A22" s="13"/>
      <c r="B22" s="7" t="n">
        <f aca="false">B21</f>
        <v>0</v>
      </c>
      <c r="C22" s="35" t="s">
        <v>722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7" t="str">
        <f aca="false">IF(COUNTA(D22:W22)=0,"",SUMPRODUCT(--(UPPER(D22:W22)=$D$6:$W$6))*5)</f>
        <v/>
      </c>
    </row>
    <row r="23" customFormat="false" ht="15" hidden="false" customHeight="false" outlineLevel="0" collapsed="false">
      <c r="A23" s="13" t="n">
        <v>9</v>
      </c>
      <c r="B23" s="14"/>
      <c r="C23" s="35" t="s">
        <v>721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27" t="str">
        <f aca="false">IF(COUNTA(D23:W23)=0,"",SUMPRODUCT(--(UPPER(D23:W23)=$D$6:$W$6))*5)</f>
        <v/>
      </c>
    </row>
    <row r="24" customFormat="false" ht="15" hidden="false" customHeight="false" outlineLevel="0" collapsed="false">
      <c r="A24" s="13"/>
      <c r="B24" s="7" t="n">
        <f aca="false">B23</f>
        <v>0</v>
      </c>
      <c r="C24" s="35" t="s">
        <v>722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7" t="str">
        <f aca="false">IF(COUNTA(D24:W24)=0,"",SUMPRODUCT(--(UPPER(D24:W24)=$D$6:$W$6))*5)</f>
        <v/>
      </c>
    </row>
    <row r="25" customFormat="false" ht="15" hidden="false" customHeight="false" outlineLevel="0" collapsed="false">
      <c r="A25" s="13" t="n">
        <v>10</v>
      </c>
      <c r="B25" s="14"/>
      <c r="C25" s="35" t="s">
        <v>721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27" t="str">
        <f aca="false">IF(COUNTA(D25:W25)=0,"",SUMPRODUCT(--(UPPER(D25:W25)=$D$6:$W$6))*5)</f>
        <v/>
      </c>
    </row>
    <row r="26" customFormat="false" ht="15" hidden="false" customHeight="false" outlineLevel="0" collapsed="false">
      <c r="A26" s="13"/>
      <c r="B26" s="7" t="n">
        <f aca="false">B25</f>
        <v>0</v>
      </c>
      <c r="C26" s="35" t="s">
        <v>722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7" t="str">
        <f aca="false">IF(COUNTA(D26:W26)=0,"",SUMPRODUCT(--(UPPER(D26:W26)=$D$6:$W$6))*5)</f>
        <v/>
      </c>
    </row>
    <row r="27" customFormat="false" ht="15" hidden="false" customHeight="false" outlineLevel="0" collapsed="false">
      <c r="A27" s="13" t="n">
        <v>11</v>
      </c>
      <c r="B27" s="14"/>
      <c r="C27" s="35" t="s">
        <v>721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7" t="str">
        <f aca="false">IF(COUNTA(D27:W27)=0,"",SUMPRODUCT(--(UPPER(D27:W27)=$D$6:$W$6))*5)</f>
        <v/>
      </c>
    </row>
    <row r="28" customFormat="false" ht="15" hidden="false" customHeight="false" outlineLevel="0" collapsed="false">
      <c r="A28" s="13"/>
      <c r="B28" s="7" t="n">
        <f aca="false">B27</f>
        <v>0</v>
      </c>
      <c r="C28" s="35" t="s">
        <v>722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7" t="str">
        <f aca="false">IF(COUNTA(D28:W28)=0,"",SUMPRODUCT(--(UPPER(D28:W28)=$D$6:$W$6))*5)</f>
        <v/>
      </c>
    </row>
    <row r="29" customFormat="false" ht="15" hidden="false" customHeight="false" outlineLevel="0" collapsed="false">
      <c r="A29" s="13" t="n">
        <v>12</v>
      </c>
      <c r="B29" s="14"/>
      <c r="C29" s="35" t="s">
        <v>721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27" t="str">
        <f aca="false">IF(COUNTA(D29:W29)=0,"",SUMPRODUCT(--(UPPER(D29:W29)=$D$6:$W$6))*5)</f>
        <v/>
      </c>
    </row>
    <row r="30" customFormat="false" ht="15" hidden="false" customHeight="false" outlineLevel="0" collapsed="false">
      <c r="A30" s="13"/>
      <c r="B30" s="7" t="n">
        <f aca="false">B29</f>
        <v>0</v>
      </c>
      <c r="C30" s="35" t="s">
        <v>722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27" t="str">
        <f aca="false">IF(COUNTA(D30:W30)=0,"",SUMPRODUCT(--(UPPER(D30:W30)=$D$6:$W$6))*5)</f>
        <v/>
      </c>
    </row>
    <row r="31" customFormat="false" ht="15" hidden="false" customHeight="false" outlineLevel="0" collapsed="false">
      <c r="A31" s="13" t="n">
        <v>13</v>
      </c>
      <c r="B31" s="14"/>
      <c r="C31" s="35" t="s">
        <v>721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27" t="str">
        <f aca="false">IF(COUNTA(D31:W31)=0,"",SUMPRODUCT(--(UPPER(D31:W31)=$D$6:$W$6))*5)</f>
        <v/>
      </c>
    </row>
    <row r="32" customFormat="false" ht="15" hidden="false" customHeight="false" outlineLevel="0" collapsed="false">
      <c r="A32" s="13"/>
      <c r="B32" s="7" t="n">
        <f aca="false">B31</f>
        <v>0</v>
      </c>
      <c r="C32" s="35" t="s">
        <v>722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27" t="str">
        <f aca="false">IF(COUNTA(D32:W32)=0,"",SUMPRODUCT(--(UPPER(D32:W32)=$D$6:$W$6))*5)</f>
        <v/>
      </c>
    </row>
    <row r="33" customFormat="false" ht="15" hidden="false" customHeight="false" outlineLevel="0" collapsed="false">
      <c r="A33" s="13" t="n">
        <v>14</v>
      </c>
      <c r="B33" s="14"/>
      <c r="C33" s="35" t="s">
        <v>721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27" t="str">
        <f aca="false">IF(COUNTA(D33:W33)=0,"",SUMPRODUCT(--(UPPER(D33:W33)=$D$6:$W$6))*5)</f>
        <v/>
      </c>
    </row>
    <row r="34" customFormat="false" ht="15" hidden="false" customHeight="false" outlineLevel="0" collapsed="false">
      <c r="A34" s="13"/>
      <c r="B34" s="7" t="n">
        <f aca="false">B33</f>
        <v>0</v>
      </c>
      <c r="C34" s="35" t="s">
        <v>722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27" t="str">
        <f aca="false">IF(COUNTA(D34:W34)=0,"",SUMPRODUCT(--(UPPER(D34:W34)=$D$6:$W$6))*5)</f>
        <v/>
      </c>
    </row>
    <row r="35" customFormat="false" ht="15" hidden="false" customHeight="false" outlineLevel="0" collapsed="false">
      <c r="A35" s="13" t="n">
        <v>15</v>
      </c>
      <c r="B35" s="14"/>
      <c r="C35" s="35" t="s">
        <v>721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27" t="str">
        <f aca="false">IF(COUNTA(D35:W35)=0,"",SUMPRODUCT(--(UPPER(D35:W35)=$D$6:$W$6))*5)</f>
        <v/>
      </c>
    </row>
    <row r="36" customFormat="false" ht="15" hidden="false" customHeight="false" outlineLevel="0" collapsed="false">
      <c r="A36" s="13"/>
      <c r="B36" s="7" t="n">
        <f aca="false">B35</f>
        <v>0</v>
      </c>
      <c r="C36" s="35" t="s">
        <v>722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27" t="str">
        <f aca="false">IF(COUNTA(D36:W36)=0,"",SUMPRODUCT(--(UPPER(D36:W36)=$D$6:$W$6))*5)</f>
        <v/>
      </c>
    </row>
    <row r="37" customFormat="false" ht="15" hidden="false" customHeight="false" outlineLevel="0" collapsed="false">
      <c r="A37" s="13" t="n">
        <v>16</v>
      </c>
      <c r="B37" s="14"/>
      <c r="C37" s="35" t="s">
        <v>721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27" t="str">
        <f aca="false">IF(COUNTA(D37:W37)=0,"",SUMPRODUCT(--(UPPER(D37:W37)=$D$6:$W$6))*5)</f>
        <v/>
      </c>
    </row>
    <row r="38" customFormat="false" ht="15" hidden="false" customHeight="false" outlineLevel="0" collapsed="false">
      <c r="A38" s="13"/>
      <c r="B38" s="7" t="n">
        <f aca="false">B37</f>
        <v>0</v>
      </c>
      <c r="C38" s="35" t="s">
        <v>722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27" t="str">
        <f aca="false">IF(COUNTA(D38:W38)=0,"",SUMPRODUCT(--(UPPER(D38:W38)=$D$6:$W$6))*5)</f>
        <v/>
      </c>
    </row>
    <row r="39" customFormat="false" ht="15" hidden="false" customHeight="false" outlineLevel="0" collapsed="false">
      <c r="A39" s="13" t="n">
        <v>17</v>
      </c>
      <c r="B39" s="14"/>
      <c r="C39" s="35" t="s">
        <v>721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27" t="str">
        <f aca="false">IF(COUNTA(D39:W39)=0,"",SUMPRODUCT(--(UPPER(D39:W39)=$D$6:$W$6))*5)</f>
        <v/>
      </c>
    </row>
    <row r="40" customFormat="false" ht="15" hidden="false" customHeight="false" outlineLevel="0" collapsed="false">
      <c r="A40" s="13"/>
      <c r="B40" s="7" t="n">
        <f aca="false">B39</f>
        <v>0</v>
      </c>
      <c r="C40" s="35" t="s">
        <v>722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27" t="str">
        <f aca="false">IF(COUNTA(D40:W40)=0,"",SUMPRODUCT(--(UPPER(D40:W40)=$D$6:$W$6))*5)</f>
        <v/>
      </c>
    </row>
    <row r="41" customFormat="false" ht="15" hidden="false" customHeight="false" outlineLevel="0" collapsed="false">
      <c r="A41" s="13" t="n">
        <v>18</v>
      </c>
      <c r="B41" s="14"/>
      <c r="C41" s="35" t="s">
        <v>721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27" t="str">
        <f aca="false">IF(COUNTA(D41:W41)=0,"",SUMPRODUCT(--(UPPER(D41:W41)=$D$6:$W$6))*5)</f>
        <v/>
      </c>
    </row>
    <row r="42" customFormat="false" ht="15" hidden="false" customHeight="false" outlineLevel="0" collapsed="false">
      <c r="A42" s="13"/>
      <c r="B42" s="7" t="n">
        <f aca="false">B41</f>
        <v>0</v>
      </c>
      <c r="C42" s="35" t="s">
        <v>722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27" t="str">
        <f aca="false">IF(COUNTA(D42:W42)=0,"",SUMPRODUCT(--(UPPER(D42:W42)=$D$6:$W$6))*5)</f>
        <v/>
      </c>
    </row>
    <row r="43" customFormat="false" ht="15" hidden="false" customHeight="false" outlineLevel="0" collapsed="false">
      <c r="A43" s="13" t="n">
        <v>19</v>
      </c>
      <c r="B43" s="14"/>
      <c r="C43" s="35" t="s">
        <v>721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27" t="str">
        <f aca="false">IF(COUNTA(D43:W43)=0,"",SUMPRODUCT(--(UPPER(D43:W43)=$D$6:$W$6))*5)</f>
        <v/>
      </c>
    </row>
    <row r="44" customFormat="false" ht="15" hidden="false" customHeight="false" outlineLevel="0" collapsed="false">
      <c r="A44" s="13"/>
      <c r="B44" s="7" t="n">
        <f aca="false">B43</f>
        <v>0</v>
      </c>
      <c r="C44" s="35" t="s">
        <v>722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27" t="str">
        <f aca="false">IF(COUNTA(D44:W44)=0,"",SUMPRODUCT(--(UPPER(D44:W44)=$D$6:$W$6))*5)</f>
        <v/>
      </c>
    </row>
    <row r="45" customFormat="false" ht="15" hidden="false" customHeight="false" outlineLevel="0" collapsed="false">
      <c r="A45" s="13" t="n">
        <v>20</v>
      </c>
      <c r="B45" s="14"/>
      <c r="C45" s="35" t="s">
        <v>721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27" t="str">
        <f aca="false">IF(COUNTA(D45:W45)=0,"",SUMPRODUCT(--(UPPER(D45:W45)=$D$6:$W$6))*5)</f>
        <v/>
      </c>
    </row>
    <row r="46" customFormat="false" ht="15" hidden="false" customHeight="false" outlineLevel="0" collapsed="false">
      <c r="A46" s="13"/>
      <c r="B46" s="7" t="n">
        <f aca="false">B45</f>
        <v>0</v>
      </c>
      <c r="C46" s="35" t="s">
        <v>722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27" t="str">
        <f aca="false">IF(COUNTA(D46:W46)=0,"",SUMPRODUCT(--(UPPER(D46:W46)=$D$6:$W$6))*5)</f>
        <v/>
      </c>
    </row>
    <row r="47" customFormat="false" ht="15" hidden="false" customHeight="false" outlineLevel="0" collapsed="false">
      <c r="A47" s="13" t="n">
        <v>21</v>
      </c>
      <c r="B47" s="14"/>
      <c r="C47" s="35" t="s">
        <v>721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27" t="str">
        <f aca="false">IF(COUNTA(D47:W47)=0,"",SUMPRODUCT(--(UPPER(D47:W47)=$D$6:$W$6))*5)</f>
        <v/>
      </c>
    </row>
    <row r="48" customFormat="false" ht="15" hidden="false" customHeight="false" outlineLevel="0" collapsed="false">
      <c r="A48" s="13"/>
      <c r="B48" s="7" t="n">
        <f aca="false">B47</f>
        <v>0</v>
      </c>
      <c r="C48" s="35" t="s">
        <v>722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27" t="str">
        <f aca="false">IF(COUNTA(D48:W48)=0,"",SUMPRODUCT(--(UPPER(D48:W48)=$D$6:$W$6))*5)</f>
        <v/>
      </c>
    </row>
    <row r="49" customFormat="false" ht="15" hidden="false" customHeight="false" outlineLevel="0" collapsed="false">
      <c r="A49" s="13" t="n">
        <v>22</v>
      </c>
      <c r="B49" s="14"/>
      <c r="C49" s="35" t="s">
        <v>721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27" t="str">
        <f aca="false">IF(COUNTA(D49:W49)=0,"",SUMPRODUCT(--(UPPER(D49:W49)=$D$6:$W$6))*5)</f>
        <v/>
      </c>
    </row>
    <row r="50" customFormat="false" ht="15" hidden="false" customHeight="false" outlineLevel="0" collapsed="false">
      <c r="A50" s="13"/>
      <c r="B50" s="7" t="n">
        <f aca="false">B49</f>
        <v>0</v>
      </c>
      <c r="C50" s="35" t="s">
        <v>722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27" t="str">
        <f aca="false">IF(COUNTA(D50:W50)=0,"",SUMPRODUCT(--(UPPER(D50:W50)=$D$6:$W$6))*5)</f>
        <v/>
      </c>
    </row>
    <row r="51" customFormat="false" ht="15" hidden="false" customHeight="false" outlineLevel="0" collapsed="false">
      <c r="A51" s="13" t="n">
        <v>23</v>
      </c>
      <c r="B51" s="14"/>
      <c r="C51" s="35" t="s">
        <v>721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27" t="str">
        <f aca="false">IF(COUNTA(D51:W51)=0,"",SUMPRODUCT(--(UPPER(D51:W51)=$D$6:$W$6))*5)</f>
        <v/>
      </c>
    </row>
    <row r="52" customFormat="false" ht="15" hidden="false" customHeight="false" outlineLevel="0" collapsed="false">
      <c r="A52" s="13"/>
      <c r="B52" s="7" t="n">
        <f aca="false">B51</f>
        <v>0</v>
      </c>
      <c r="C52" s="35" t="s">
        <v>722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27" t="str">
        <f aca="false">IF(COUNTA(D52:W52)=0,"",SUMPRODUCT(--(UPPER(D52:W52)=$D$6:$W$6))*5)</f>
        <v/>
      </c>
    </row>
    <row r="53" customFormat="false" ht="15" hidden="false" customHeight="false" outlineLevel="0" collapsed="false">
      <c r="A53" s="13" t="n">
        <v>24</v>
      </c>
      <c r="B53" s="14"/>
      <c r="C53" s="35" t="s">
        <v>721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27" t="str">
        <f aca="false">IF(COUNTA(D53:W53)=0,"",SUMPRODUCT(--(UPPER(D53:W53)=$D$6:$W$6))*5)</f>
        <v/>
      </c>
    </row>
    <row r="54" customFormat="false" ht="15" hidden="false" customHeight="false" outlineLevel="0" collapsed="false">
      <c r="A54" s="13"/>
      <c r="B54" s="7" t="n">
        <f aca="false">B53</f>
        <v>0</v>
      </c>
      <c r="C54" s="35" t="s">
        <v>722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27" t="str">
        <f aca="false">IF(COUNTA(D54:W54)=0,"",SUMPRODUCT(--(UPPER(D54:W54)=$D$6:$W$6))*5)</f>
        <v/>
      </c>
    </row>
    <row r="55" customFormat="false" ht="15" hidden="false" customHeight="false" outlineLevel="0" collapsed="false">
      <c r="A55" s="13" t="n">
        <v>25</v>
      </c>
      <c r="B55" s="14"/>
      <c r="C55" s="35" t="s">
        <v>721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27" t="str">
        <f aca="false">IF(COUNTA(D55:W55)=0,"",SUMPRODUCT(--(UPPER(D55:W55)=$D$6:$W$6))*5)</f>
        <v/>
      </c>
    </row>
    <row r="56" customFormat="false" ht="15" hidden="false" customHeight="false" outlineLevel="0" collapsed="false">
      <c r="A56" s="13"/>
      <c r="B56" s="7" t="n">
        <f aca="false">B55</f>
        <v>0</v>
      </c>
      <c r="C56" s="35" t="s">
        <v>722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27" t="str">
        <f aca="false">IF(COUNTA(D56:W56)=0,"",SUMPRODUCT(--(UPPER(D56:W56)=$D$6:$W$6))*5)</f>
        <v/>
      </c>
    </row>
    <row r="58" customFormat="false" ht="30" hidden="false" customHeight="true" outlineLevel="0" collapsed="false">
      <c r="A58" s="39"/>
      <c r="B58" s="39" t="s">
        <v>524</v>
      </c>
      <c r="C58" s="39"/>
      <c r="D58" s="39" t="s">
        <v>723</v>
      </c>
      <c r="E58" s="39"/>
      <c r="F58" s="39" t="s">
        <v>724</v>
      </c>
      <c r="G58" s="39"/>
      <c r="H58" s="39" t="s">
        <v>725</v>
      </c>
      <c r="I58" s="39"/>
      <c r="J58" s="39" t="s">
        <v>726</v>
      </c>
    </row>
    <row r="59" customFormat="false" ht="15" hidden="false" customHeight="false" outlineLevel="0" collapsed="false">
      <c r="D59" s="46" t="str">
        <f aca="false">IFERROR(AVERAGE(X7,X9,X11,X13,X15,X17,X19,X21,X23,X25,X27,X29,X31,X33,X35,X37,X39,X41,X43,X45,X47,X49,X51,X53,X55),"")</f>
        <v/>
      </c>
      <c r="F59" s="46" t="str">
        <f aca="false">IFERROR(AVERAGE(X8,X10,X12,X14,X16,X18,X20,X22,X24,X26,X28,X30,X32,X34,X36,X38,X40,X42,X44,X46,X48,X50,X52,X54,X56),"")</f>
        <v/>
      </c>
      <c r="H59" s="47" t="str">
        <f aca="false">IFERROR(F59-D59,"")</f>
        <v/>
      </c>
      <c r="J59" s="25" t="str">
        <f aca="false">IFERROR(((N(X8)&gt;N(X7))*(X8&lt;&gt;"")+(N(X10)&gt;N(X9))*(X10&lt;&gt;"")+(N(X12)&gt;N(X11))*(X12&lt;&gt;"")+(N(X14)&gt;N(X13))*(X14&lt;&gt;"")+(N(X16)&gt;N(X15))*(X16&lt;&gt;"")+(N(X18)&gt;N(X17))*(X18&lt;&gt;"")+(N(X20)&gt;N(X19))*(X20&lt;&gt;"")+(N(X22)&gt;N(X21))*(X22&lt;&gt;"")+(N(X24)&gt;N(X23))*(X24&lt;&gt;"")+(N(X26)&gt;N(X25))*(X26&lt;&gt;"")+(N(X28)&gt;N(X27))*(X28&lt;&gt;"")+(N(X30)&gt;N(X29))*(X30&lt;&gt;"")+(N(X32)&gt;N(X31))*(X32&lt;&gt;"")+(N(X34)&gt;N(X33))*(X34&lt;&gt;"")+(N(X36)&gt;N(X35))*(X36&lt;&gt;"")+(N(X38)&gt;N(X37))*(X38&lt;&gt;"")+(N(X40)&gt;N(X39))*(X40&lt;&gt;"")+(N(X42)&gt;N(X41))*(X42&lt;&gt;"")+(N(X44)&gt;N(X43))*(X44&lt;&gt;"")+(N(X46)&gt;N(X45))*(X46&lt;&gt;"")+(N(X48)&gt;N(X47))*(X48&lt;&gt;"")+(N(X50)&gt;N(X49))*(X50&lt;&gt;"")+(N(X52)&gt;N(X51))*(X52&lt;&gt;"")+(N(X54)&gt;N(X53))*(X54&lt;&gt;"")+(N(X56)&gt;N(X55))*(X56&lt;&gt;""))/COUNT(X8,X10,X12,X14,X16,X18,X20,X22,X24,X26,X28,X30,X32,X34,X36,X38,X40,X42,X44,X46,X48,X50,X52,X54,X56),"")</f>
        <v/>
      </c>
    </row>
  </sheetData>
  <dataValidations count="1">
    <dataValidation allowBlank="true" errorStyle="stop" operator="between" showDropDown="false" showErrorMessage="false" showInputMessage="false" sqref="D7:W56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0"/>
  </cols>
  <sheetData>
    <row r="1" customFormat="false" ht="27.75" hidden="false" customHeight="true" outlineLevel="0" collapsed="false">
      <c r="A1" s="9" t="s">
        <v>67</v>
      </c>
      <c r="B1" s="2"/>
      <c r="C1" s="2"/>
      <c r="D1" s="2"/>
    </row>
    <row r="2" customFormat="false" ht="15" hidden="false" customHeight="false" outlineLevel="0" collapsed="false">
      <c r="A2" s="10" t="s">
        <v>68</v>
      </c>
    </row>
    <row r="3" customFormat="false" ht="15" hidden="false" customHeight="false" outlineLevel="0" collapsed="false">
      <c r="A3" s="4" t="s">
        <v>86</v>
      </c>
    </row>
    <row r="4" customFormat="false" ht="15" hidden="false" customHeight="false" outlineLevel="0" collapsed="false">
      <c r="A4" s="15" t="s">
        <v>272</v>
      </c>
      <c r="B4" s="14"/>
      <c r="C4" s="15" t="s">
        <v>727</v>
      </c>
      <c r="D4" s="14"/>
    </row>
    <row r="5" customFormat="false" ht="15" hidden="false" customHeight="false" outlineLevel="0" collapsed="false">
      <c r="A5" s="15" t="s">
        <v>728</v>
      </c>
      <c r="B5" s="48"/>
    </row>
    <row r="6" customFormat="false" ht="15" hidden="false" customHeight="false" outlineLevel="0" collapsed="false">
      <c r="A6" s="15" t="s">
        <v>729</v>
      </c>
      <c r="B6" s="49" t="str">
        <f aca="false">IF(B5="","",B5+7)</f>
        <v/>
      </c>
    </row>
    <row r="7" customFormat="false" ht="15" hidden="false" customHeight="false" outlineLevel="0" collapsed="false">
      <c r="A7" s="15" t="s">
        <v>730</v>
      </c>
      <c r="B7" s="49" t="str">
        <f aca="false">IF(B5="","",B5+14)</f>
        <v/>
      </c>
    </row>
    <row r="8" customFormat="false" ht="15" hidden="false" customHeight="false" outlineLevel="0" collapsed="false">
      <c r="A8" s="15" t="s">
        <v>731</v>
      </c>
      <c r="B8" s="49" t="str">
        <f aca="false">IF(B5="","",B5+30)</f>
        <v/>
      </c>
    </row>
    <row r="10" customFormat="false" ht="30" hidden="false" customHeight="true" outlineLevel="0" collapsed="false">
      <c r="A10" s="5" t="s">
        <v>246</v>
      </c>
      <c r="B10" s="5" t="s">
        <v>732</v>
      </c>
      <c r="C10" s="5" t="s">
        <v>733</v>
      </c>
      <c r="D10" s="5" t="s">
        <v>734</v>
      </c>
    </row>
    <row r="11" customFormat="false" ht="36" hidden="false" customHeight="true" outlineLevel="0" collapsed="false">
      <c r="A11" s="11" t="s">
        <v>735</v>
      </c>
      <c r="B11" s="14"/>
      <c r="C11" s="14"/>
      <c r="D11" s="14"/>
    </row>
    <row r="12" customFormat="false" ht="36" hidden="false" customHeight="true" outlineLevel="0" collapsed="false">
      <c r="A12" s="11" t="s">
        <v>736</v>
      </c>
      <c r="B12" s="14"/>
      <c r="C12" s="14"/>
      <c r="D12" s="14"/>
    </row>
    <row r="13" customFormat="false" ht="36" hidden="false" customHeight="true" outlineLevel="0" collapsed="false">
      <c r="A13" s="11" t="s">
        <v>737</v>
      </c>
      <c r="B13" s="14"/>
      <c r="C13" s="14"/>
      <c r="D13" s="14"/>
    </row>
    <row r="14" customFormat="false" ht="36" hidden="false" customHeight="true" outlineLevel="0" collapsed="false">
      <c r="A14" s="11" t="s">
        <v>738</v>
      </c>
      <c r="B14" s="14"/>
      <c r="C14" s="14"/>
      <c r="D14" s="14"/>
    </row>
    <row r="15" customFormat="false" ht="36" hidden="false" customHeight="true" outlineLevel="0" collapsed="false">
      <c r="A15" s="11" t="s">
        <v>739</v>
      </c>
      <c r="B15" s="14"/>
      <c r="C15" s="14"/>
      <c r="D15" s="14"/>
    </row>
    <row r="16" customFormat="false" ht="36" hidden="false" customHeight="true" outlineLevel="0" collapsed="false">
      <c r="A16" s="11" t="s">
        <v>740</v>
      </c>
      <c r="B16" s="14"/>
      <c r="C16" s="14"/>
      <c r="D16" s="14"/>
    </row>
    <row r="17" customFormat="false" ht="36" hidden="false" customHeight="true" outlineLevel="0" collapsed="false">
      <c r="A17" s="11" t="s">
        <v>741</v>
      </c>
      <c r="B17" s="14"/>
      <c r="C17" s="14"/>
      <c r="D17" s="14"/>
    </row>
    <row r="18" customFormat="false" ht="36" hidden="false" customHeight="true" outlineLevel="0" collapsed="false">
      <c r="A18" s="11" t="s">
        <v>472</v>
      </c>
      <c r="B18" s="49" t="str">
        <f aca="false">B8</f>
        <v/>
      </c>
      <c r="C18" s="49" t="str">
        <f aca="false">B8</f>
        <v/>
      </c>
      <c r="D18" s="49" t="str">
        <f aca="false">B8</f>
        <v/>
      </c>
    </row>
    <row r="20" customFormat="false" ht="15" hidden="false" customHeight="false" outlineLevel="0" collapsed="false">
      <c r="A20" s="8" t="s">
        <v>320</v>
      </c>
    </row>
    <row r="21" customFormat="false" ht="15" hidden="false" customHeight="true" outlineLevel="0" collapsed="false">
      <c r="A21" s="7" t="s">
        <v>735</v>
      </c>
      <c r="B21" s="7" t="s">
        <v>97</v>
      </c>
      <c r="C21" s="7"/>
      <c r="D21" s="7"/>
    </row>
    <row r="22" customFormat="false" ht="15" hidden="false" customHeight="true" outlineLevel="0" collapsed="false">
      <c r="A22" s="7" t="s">
        <v>736</v>
      </c>
      <c r="B22" s="7" t="s">
        <v>742</v>
      </c>
      <c r="C22" s="7"/>
      <c r="D22" s="7"/>
    </row>
    <row r="23" customFormat="false" ht="15" hidden="false" customHeight="true" outlineLevel="0" collapsed="false">
      <c r="A23" s="7" t="s">
        <v>737</v>
      </c>
      <c r="B23" s="7" t="s">
        <v>743</v>
      </c>
      <c r="C23" s="7"/>
      <c r="D23" s="7"/>
    </row>
    <row r="24" customFormat="false" ht="15" hidden="false" customHeight="true" outlineLevel="0" collapsed="false">
      <c r="A24" s="7" t="s">
        <v>738</v>
      </c>
      <c r="B24" s="7" t="s">
        <v>744</v>
      </c>
      <c r="C24" s="7"/>
      <c r="D24" s="7"/>
    </row>
    <row r="25" customFormat="false" ht="15" hidden="false" customHeight="true" outlineLevel="0" collapsed="false">
      <c r="A25" s="7" t="s">
        <v>739</v>
      </c>
      <c r="B25" s="7" t="s">
        <v>745</v>
      </c>
      <c r="C25" s="7"/>
      <c r="D25" s="7"/>
    </row>
    <row r="26" customFormat="false" ht="15" hidden="false" customHeight="true" outlineLevel="0" collapsed="false">
      <c r="A26" s="7" t="s">
        <v>740</v>
      </c>
      <c r="B26" s="7" t="s">
        <v>746</v>
      </c>
      <c r="C26" s="7"/>
      <c r="D26" s="7"/>
    </row>
    <row r="27" customFormat="false" ht="15" hidden="false" customHeight="true" outlineLevel="0" collapsed="false">
      <c r="A27" s="7" t="s">
        <v>741</v>
      </c>
      <c r="B27" s="7" t="s">
        <v>747</v>
      </c>
      <c r="C27" s="7"/>
      <c r="D27" s="7"/>
    </row>
    <row r="28" customFormat="false" ht="15" hidden="false" customHeight="true" outlineLevel="0" collapsed="false">
      <c r="A28" s="7" t="s">
        <v>472</v>
      </c>
      <c r="B28" s="7" t="s">
        <v>748</v>
      </c>
      <c r="C28" s="7"/>
      <c r="D28" s="7"/>
    </row>
  </sheetData>
  <mergeCells count="8">
    <mergeCell ref="B21:D21"/>
    <mergeCell ref="B22:D22"/>
    <mergeCell ref="B23:D23"/>
    <mergeCell ref="B24:D24"/>
    <mergeCell ref="B25:D25"/>
    <mergeCell ref="B26:D26"/>
    <mergeCell ref="B27:D27"/>
    <mergeCell ref="B28:D28"/>
  </mergeCells>
  <dataValidations count="1">
    <dataValidation allowBlank="true" errorStyle="stop" operator="between" showDropDown="false" showErrorMessage="false" showInputMessage="false" sqref="B11:D11" type="list">
      <formula1>"Self Leadership,Prioritization,Time Management,Focus,Delegation,Coaching,Feedback,Critical Thinking,Decision Making,Execution"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32"/>
  </cols>
  <sheetData>
    <row r="1" customFormat="false" ht="27.75" hidden="false" customHeight="true" outlineLevel="0" collapsed="false">
      <c r="A1" s="9" t="s">
        <v>70</v>
      </c>
      <c r="B1" s="2"/>
      <c r="C1" s="2"/>
      <c r="D1" s="2"/>
    </row>
    <row r="2" customFormat="false" ht="15" hidden="false" customHeight="false" outlineLevel="0" collapsed="false">
      <c r="A2" s="10" t="s">
        <v>71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233</v>
      </c>
      <c r="B5" s="5" t="s">
        <v>729</v>
      </c>
      <c r="C5" s="5" t="s">
        <v>730</v>
      </c>
      <c r="D5" s="5" t="s">
        <v>731</v>
      </c>
    </row>
    <row r="6" customFormat="false" ht="48" hidden="false" customHeight="true" outlineLevel="0" collapsed="false">
      <c r="A6" s="11" t="s">
        <v>749</v>
      </c>
      <c r="B6" s="14"/>
      <c r="C6" s="14"/>
      <c r="D6" s="14"/>
    </row>
    <row r="7" customFormat="false" ht="48" hidden="false" customHeight="true" outlineLevel="0" collapsed="false">
      <c r="A7" s="11" t="s">
        <v>750</v>
      </c>
      <c r="B7" s="14"/>
      <c r="C7" s="14"/>
      <c r="D7" s="14"/>
    </row>
    <row r="8" customFormat="false" ht="48" hidden="false" customHeight="true" outlineLevel="0" collapsed="false">
      <c r="A8" s="11" t="s">
        <v>751</v>
      </c>
      <c r="B8" s="14"/>
      <c r="C8" s="14"/>
      <c r="D8" s="14"/>
    </row>
    <row r="9" customFormat="false" ht="48" hidden="false" customHeight="true" outlineLevel="0" collapsed="false">
      <c r="A9" s="11" t="s">
        <v>752</v>
      </c>
      <c r="B9" s="14"/>
      <c r="C9" s="14"/>
      <c r="D9" s="14"/>
    </row>
    <row r="10" customFormat="false" ht="48" hidden="false" customHeight="true" outlineLevel="0" collapsed="false">
      <c r="A10" s="11" t="s">
        <v>753</v>
      </c>
      <c r="B10" s="14"/>
      <c r="C10" s="14"/>
      <c r="D10" s="14"/>
    </row>
    <row r="12" customFormat="false" ht="15" hidden="false" customHeight="false" outlineLevel="0" collapsed="false">
      <c r="A12" s="11" t="s">
        <v>754</v>
      </c>
      <c r="B12" s="24"/>
      <c r="C12" s="24"/>
      <c r="D12" s="24"/>
    </row>
    <row r="13" customFormat="false" ht="15" hidden="false" customHeight="false" outlineLevel="0" collapsed="false">
      <c r="A13" s="11" t="s">
        <v>91</v>
      </c>
      <c r="B13" s="13" t="str">
        <f aca="false">IF(B12="","",IF(B12&gt;=0.8,"On track",IF(B12&gt;=0.5,"Perlu dorongan","Perlu intervensi")))</f>
        <v/>
      </c>
      <c r="C13" s="13" t="str">
        <f aca="false">IF(C12="","",IF(C12&gt;=0.8,"On track",IF(C12&gt;=0.5,"Perlu dorongan","Perlu intervensi")))</f>
        <v/>
      </c>
      <c r="D13" s="13" t="str">
        <f aca="false">IF(D12="","",IF(D12&gt;=0.8,"On track",IF(D12&gt;=0.5,"Perlu dorongan","Perlu intervensi")))</f>
        <v/>
      </c>
    </row>
    <row r="15" customFormat="false" ht="15" hidden="false" customHeight="false" outlineLevel="0" collapsed="false">
      <c r="A15" s="50" t="s">
        <v>755</v>
      </c>
    </row>
    <row r="16" customFormat="false" ht="15" hidden="false" customHeight="true" outlineLevel="0" collapsed="false">
      <c r="A16" s="7" t="s">
        <v>756</v>
      </c>
      <c r="B16" s="7"/>
      <c r="C16" s="7"/>
      <c r="D16" s="7"/>
    </row>
    <row r="17" customFormat="false" ht="15" hidden="false" customHeight="true" outlineLevel="0" collapsed="false">
      <c r="A17" s="7" t="s">
        <v>757</v>
      </c>
      <c r="B17" s="7"/>
      <c r="C17" s="7"/>
      <c r="D17" s="7"/>
    </row>
    <row r="18" customFormat="false" ht="15" hidden="false" customHeight="true" outlineLevel="0" collapsed="false">
      <c r="A18" s="7" t="s">
        <v>758</v>
      </c>
      <c r="B18" s="7"/>
      <c r="C18" s="7"/>
      <c r="D18" s="7"/>
    </row>
    <row r="19" customFormat="false" ht="15" hidden="false" customHeight="true" outlineLevel="0" collapsed="false">
      <c r="A19" s="7" t="s">
        <v>759</v>
      </c>
      <c r="B19" s="7"/>
      <c r="C19" s="7"/>
      <c r="D19" s="7"/>
    </row>
    <row r="20" customFormat="false" ht="15" hidden="false" customHeight="true" outlineLevel="0" collapsed="false">
      <c r="A20" s="7" t="s">
        <v>760</v>
      </c>
      <c r="B20" s="7"/>
      <c r="C20" s="7"/>
      <c r="D20" s="7"/>
    </row>
  </sheetData>
  <mergeCells count="5"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27.75" hidden="false" customHeight="true" outlineLevel="0" collapsed="false">
      <c r="A1" s="9" t="s">
        <v>73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0" t="s">
        <v>74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761</v>
      </c>
      <c r="B5" s="5" t="s">
        <v>762</v>
      </c>
      <c r="C5" s="5" t="s">
        <v>763</v>
      </c>
      <c r="D5" s="5" t="s">
        <v>764</v>
      </c>
      <c r="E5" s="5" t="s">
        <v>765</v>
      </c>
      <c r="F5" s="5" t="s">
        <v>766</v>
      </c>
      <c r="G5" s="5" t="s">
        <v>767</v>
      </c>
    </row>
    <row r="6" customFormat="false" ht="15" hidden="false" customHeight="false" outlineLevel="0" collapsed="false">
      <c r="A6" s="11" t="s">
        <v>768</v>
      </c>
      <c r="B6" s="7" t="s">
        <v>769</v>
      </c>
      <c r="C6" s="12" t="s">
        <v>770</v>
      </c>
      <c r="D6" s="12"/>
      <c r="E6" s="12"/>
      <c r="F6" s="51" t="str">
        <f aca="false">IF(OR(D6="",E6="",D6=0),"",(E6-D6)/D6)</f>
        <v/>
      </c>
      <c r="G6" s="38" t="str">
        <f aca="false">IF(F6="","",IF(OR(AND(C6="Turun",E6&lt;D6),AND(C6="Naik",E6&gt;D6)),"Ya","Belum"))</f>
        <v/>
      </c>
    </row>
    <row r="7" customFormat="false" ht="15" hidden="false" customHeight="false" outlineLevel="0" collapsed="false">
      <c r="A7" s="11" t="s">
        <v>771</v>
      </c>
      <c r="B7" s="7" t="s">
        <v>772</v>
      </c>
      <c r="C7" s="12" t="s">
        <v>770</v>
      </c>
      <c r="D7" s="12"/>
      <c r="E7" s="12"/>
      <c r="F7" s="51" t="str">
        <f aca="false">IF(OR(D7="",E7="",D7=0),"",(E7-D7)/D7)</f>
        <v/>
      </c>
      <c r="G7" s="38" t="str">
        <f aca="false">IF(F7="","",IF(OR(AND(C7="Turun",E7&lt;D7),AND(C7="Naik",E7&gt;D7)),"Ya","Belum"))</f>
        <v/>
      </c>
    </row>
    <row r="8" customFormat="false" ht="15" hidden="false" customHeight="false" outlineLevel="0" collapsed="false">
      <c r="A8" s="11" t="s">
        <v>773</v>
      </c>
      <c r="B8" s="7" t="s">
        <v>774</v>
      </c>
      <c r="C8" s="12" t="s">
        <v>770</v>
      </c>
      <c r="D8" s="12"/>
      <c r="E8" s="12"/>
      <c r="F8" s="51" t="str">
        <f aca="false">IF(OR(D8="",E8="",D8=0),"",(E8-D8)/D8)</f>
        <v/>
      </c>
      <c r="G8" s="38" t="str">
        <f aca="false">IF(F8="","",IF(OR(AND(C8="Turun",E8&lt;D8),AND(C8="Naik",E8&gt;D8)),"Ya","Belum"))</f>
        <v/>
      </c>
    </row>
    <row r="9" customFormat="false" ht="15" hidden="false" customHeight="false" outlineLevel="0" collapsed="false">
      <c r="A9" s="11" t="s">
        <v>775</v>
      </c>
      <c r="B9" s="7" t="s">
        <v>776</v>
      </c>
      <c r="C9" s="12" t="s">
        <v>777</v>
      </c>
      <c r="D9" s="12"/>
      <c r="E9" s="12"/>
      <c r="F9" s="51" t="str">
        <f aca="false">IF(OR(D9="",E9="",D9=0),"",(E9-D9)/D9)</f>
        <v/>
      </c>
      <c r="G9" s="38" t="str">
        <f aca="false">IF(F9="","",IF(OR(AND(C9="Turun",E9&lt;D9),AND(C9="Naik",E9&gt;D9)),"Ya","Belum"))</f>
        <v/>
      </c>
    </row>
    <row r="10" customFormat="false" ht="15" hidden="false" customHeight="false" outlineLevel="0" collapsed="false">
      <c r="A10" s="11" t="s">
        <v>778</v>
      </c>
      <c r="B10" s="7" t="s">
        <v>779</v>
      </c>
      <c r="C10" s="12" t="s">
        <v>770</v>
      </c>
      <c r="D10" s="12"/>
      <c r="E10" s="12"/>
      <c r="F10" s="51" t="str">
        <f aca="false">IF(OR(D10="",E10="",D10=0),"",(E10-D10)/D10)</f>
        <v/>
      </c>
      <c r="G10" s="38" t="str">
        <f aca="false">IF(F10="","",IF(OR(AND(C10="Turun",E10&lt;D10),AND(C10="Naik",E10&gt;D10)),"Ya","Belum"))</f>
        <v/>
      </c>
    </row>
    <row r="11" customFormat="false" ht="15" hidden="false" customHeight="false" outlineLevel="0" collapsed="false">
      <c r="A11" s="11" t="s">
        <v>780</v>
      </c>
      <c r="B11" s="7" t="s">
        <v>781</v>
      </c>
      <c r="C11" s="12" t="s">
        <v>777</v>
      </c>
      <c r="D11" s="12"/>
      <c r="E11" s="12"/>
      <c r="F11" s="51" t="str">
        <f aca="false">IF(OR(D11="",E11="",D11=0),"",(E11-D11)/D11)</f>
        <v/>
      </c>
      <c r="G11" s="38" t="str">
        <f aca="false">IF(F11="","",IF(OR(AND(C11="Turun",E11&lt;D11),AND(C11="Naik",E11&gt;D11)),"Ya","Belum"))</f>
        <v/>
      </c>
    </row>
    <row r="12" customFormat="false" ht="15" hidden="false" customHeight="false" outlineLevel="0" collapsed="false">
      <c r="A12" s="11" t="s">
        <v>782</v>
      </c>
      <c r="B12" s="7" t="s">
        <v>783</v>
      </c>
      <c r="C12" s="12" t="s">
        <v>777</v>
      </c>
      <c r="D12" s="12"/>
      <c r="E12" s="12"/>
      <c r="F12" s="51" t="str">
        <f aca="false">IF(OR(D12="",E12="",D12=0),"",(E12-D12)/D12)</f>
        <v/>
      </c>
      <c r="G12" s="38" t="str">
        <f aca="false">IF(F12="","",IF(OR(AND(C12="Turun",E12&lt;D12),AND(C12="Naik",E12&gt;D12)),"Ya","Belum"))</f>
        <v/>
      </c>
    </row>
    <row r="13" customFormat="false" ht="15" hidden="false" customHeight="false" outlineLevel="0" collapsed="false">
      <c r="A13" s="11" t="s">
        <v>487</v>
      </c>
      <c r="B13" s="7" t="s">
        <v>613</v>
      </c>
      <c r="C13" s="12" t="s">
        <v>777</v>
      </c>
      <c r="D13" s="12"/>
      <c r="E13" s="12"/>
      <c r="F13" s="51" t="str">
        <f aca="false">IF(OR(D13="",E13="",D13=0),"",(E13-D13)/D13)</f>
        <v/>
      </c>
      <c r="G13" s="38" t="str">
        <f aca="false">IF(F13="","",IF(OR(AND(C13="Turun",E13&lt;D13),AND(C13="Naik",E13&gt;D13)),"Ya","Belum"))</f>
        <v/>
      </c>
    </row>
    <row r="14" customFormat="false" ht="15" hidden="false" customHeight="false" outlineLevel="0" collapsed="false">
      <c r="A14" s="11" t="s">
        <v>784</v>
      </c>
      <c r="B14" s="7" t="s">
        <v>774</v>
      </c>
      <c r="C14" s="12" t="s">
        <v>777</v>
      </c>
      <c r="D14" s="12"/>
      <c r="E14" s="12"/>
      <c r="F14" s="51" t="str">
        <f aca="false">IF(OR(D14="",E14="",D14=0),"",(E14-D14)/D14)</f>
        <v/>
      </c>
      <c r="G14" s="38" t="str">
        <f aca="false">IF(F14="","",IF(OR(AND(C14="Turun",E14&lt;D14),AND(C14="Naik",E14&gt;D14)),"Ya","Belum"))</f>
        <v/>
      </c>
    </row>
    <row r="16" customFormat="false" ht="15" hidden="false" customHeight="false" outlineLevel="0" collapsed="false">
      <c r="A16" s="8" t="s">
        <v>785</v>
      </c>
      <c r="G16" s="21" t="str">
        <f aca="false">COUNTIF(G6:G14,"Ya")&amp;" / "&amp;COUNTA(D6:D14)</f>
        <v>0 / 0</v>
      </c>
    </row>
  </sheetData>
  <conditionalFormatting sqref="G6:G14">
    <cfRule type="cellIs" priority="2" operator="equal" aboveAverage="0" equalAverage="0" bottom="0" percent="0" rank="0" text="" dxfId="9">
      <formula>"Ya"</formula>
    </cfRule>
    <cfRule type="cellIs" priority="3" operator="equal" aboveAverage="0" equalAverage="0" bottom="0" percent="0" rank="0" text="" dxfId="10">
      <formula>"Belum"</formula>
    </cfRule>
  </conditionalFormatting>
  <dataValidations count="1">
    <dataValidation allowBlank="true" errorStyle="stop" operator="between" showDropDown="false" showErrorMessage="false" showInputMessage="false" sqref="C6:C14" type="list">
      <formula1>"Turun,Naik"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9" t="s">
        <v>76</v>
      </c>
      <c r="B1" s="2"/>
    </row>
    <row r="2" customFormat="false" ht="15" hidden="false" customHeight="false" outlineLevel="0" collapsed="false">
      <c r="A2" s="10" t="s">
        <v>77</v>
      </c>
    </row>
    <row r="3" customFormat="false" ht="15" hidden="false" customHeight="false" outlineLevel="0" collapsed="false">
      <c r="A3" s="4" t="s">
        <v>86</v>
      </c>
    </row>
    <row r="5" customFormat="false" ht="15" hidden="false" customHeight="false" outlineLevel="0" collapsed="false">
      <c r="A5" s="17" t="s">
        <v>786</v>
      </c>
    </row>
    <row r="6" customFormat="false" ht="43.5" hidden="false" customHeight="true" outlineLevel="0" collapsed="false">
      <c r="A6" s="11" t="s">
        <v>787</v>
      </c>
      <c r="B6" s="14"/>
    </row>
    <row r="7" customFormat="false" ht="43.5" hidden="false" customHeight="true" outlineLevel="0" collapsed="false">
      <c r="A7" s="11" t="s">
        <v>346</v>
      </c>
      <c r="B7" s="14"/>
    </row>
    <row r="8" customFormat="false" ht="43.5" hidden="false" customHeight="true" outlineLevel="0" collapsed="false">
      <c r="A8" s="11" t="s">
        <v>788</v>
      </c>
      <c r="B8" s="14"/>
    </row>
    <row r="9" customFormat="false" ht="43.5" hidden="false" customHeight="true" outlineLevel="0" collapsed="false">
      <c r="A9" s="11" t="s">
        <v>789</v>
      </c>
      <c r="B9" s="14"/>
    </row>
    <row r="11" customFormat="false" ht="15" hidden="false" customHeight="false" outlineLevel="0" collapsed="false">
      <c r="A11" s="17" t="s">
        <v>790</v>
      </c>
    </row>
    <row r="12" customFormat="false" ht="43.5" hidden="false" customHeight="true" outlineLevel="0" collapsed="false">
      <c r="A12" s="11" t="s">
        <v>791</v>
      </c>
      <c r="B12" s="14"/>
    </row>
    <row r="13" customFormat="false" ht="43.5" hidden="false" customHeight="true" outlineLevel="0" collapsed="false">
      <c r="A13" s="11" t="s">
        <v>792</v>
      </c>
      <c r="B13" s="14"/>
    </row>
    <row r="14" customFormat="false" ht="43.5" hidden="false" customHeight="true" outlineLevel="0" collapsed="false">
      <c r="A14" s="11" t="s">
        <v>793</v>
      </c>
      <c r="B14" s="14"/>
    </row>
    <row r="16" customFormat="false" ht="15" hidden="false" customHeight="false" outlineLevel="0" collapsed="false">
      <c r="A16" s="17" t="s">
        <v>794</v>
      </c>
    </row>
    <row r="17" customFormat="false" ht="36" hidden="false" customHeight="true" outlineLevel="0" collapsed="false">
      <c r="A17" s="11" t="s">
        <v>795</v>
      </c>
      <c r="B17" s="14"/>
    </row>
    <row r="18" customFormat="false" ht="36" hidden="false" customHeight="true" outlineLevel="0" collapsed="false">
      <c r="A18" s="11" t="s">
        <v>796</v>
      </c>
      <c r="B18" s="14"/>
    </row>
    <row r="19" customFormat="false" ht="36" hidden="false" customHeight="true" outlineLevel="0" collapsed="false">
      <c r="A19" s="11" t="s">
        <v>797</v>
      </c>
      <c r="B19" s="14"/>
    </row>
    <row r="20" customFormat="false" ht="36" hidden="false" customHeight="true" outlineLevel="0" collapsed="false">
      <c r="A20" s="11" t="s">
        <v>798</v>
      </c>
      <c r="B20" s="14"/>
    </row>
    <row r="21" customFormat="false" ht="36" hidden="false" customHeight="true" outlineLevel="0" collapsed="false">
      <c r="A21" s="11" t="s">
        <v>799</v>
      </c>
      <c r="B21" s="14"/>
    </row>
    <row r="22" customFormat="false" ht="36" hidden="false" customHeight="true" outlineLevel="0" collapsed="false">
      <c r="A22" s="11" t="s">
        <v>800</v>
      </c>
      <c r="B2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40"/>
    <col collapsed="false" customWidth="true" hidden="false" outlineLevel="0" max="5" min="5" style="0" width="34"/>
  </cols>
  <sheetData>
    <row r="1" customFormat="false" ht="27.75" hidden="false" customHeight="true" outlineLevel="0" collapsed="false">
      <c r="A1" s="9" t="s">
        <v>79</v>
      </c>
      <c r="B1" s="2"/>
      <c r="C1" s="2"/>
      <c r="D1" s="2"/>
      <c r="E1" s="2"/>
    </row>
    <row r="2" customFormat="false" ht="15" hidden="false" customHeight="false" outlineLevel="0" collapsed="false">
      <c r="A2" s="10" t="s">
        <v>80</v>
      </c>
    </row>
    <row r="3" customFormat="false" ht="15" hidden="false" customHeight="false" outlineLevel="0" collapsed="false">
      <c r="A3" s="4" t="s">
        <v>86</v>
      </c>
    </row>
    <row r="5" customFormat="false" ht="15" hidden="false" customHeight="false" outlineLevel="0" collapsed="false">
      <c r="A5" s="17" t="s">
        <v>801</v>
      </c>
    </row>
    <row r="6" customFormat="false" ht="30" hidden="false" customHeight="true" outlineLevel="0" collapsed="false">
      <c r="A6" s="5" t="s">
        <v>232</v>
      </c>
      <c r="B6" s="5" t="s">
        <v>802</v>
      </c>
      <c r="C6" s="5" t="s">
        <v>803</v>
      </c>
      <c r="D6" s="5" t="s">
        <v>804</v>
      </c>
      <c r="E6" s="5" t="s">
        <v>805</v>
      </c>
    </row>
    <row r="7" customFormat="false" ht="33.75" hidden="false" customHeight="true" outlineLevel="0" collapsed="false">
      <c r="A7" s="11" t="s">
        <v>700</v>
      </c>
      <c r="B7" s="7" t="s">
        <v>806</v>
      </c>
      <c r="C7" s="7" t="s">
        <v>807</v>
      </c>
      <c r="D7" s="7" t="s">
        <v>808</v>
      </c>
      <c r="E7" s="7" t="s">
        <v>809</v>
      </c>
    </row>
    <row r="8" customFormat="false" ht="33.75" hidden="false" customHeight="true" outlineLevel="0" collapsed="false">
      <c r="A8" s="11" t="s">
        <v>701</v>
      </c>
      <c r="B8" s="7" t="s">
        <v>810</v>
      </c>
      <c r="C8" s="7" t="s">
        <v>807</v>
      </c>
      <c r="D8" s="7" t="s">
        <v>808</v>
      </c>
      <c r="E8" s="7" t="s">
        <v>809</v>
      </c>
    </row>
    <row r="9" customFormat="false" ht="33.75" hidden="false" customHeight="true" outlineLevel="0" collapsed="false">
      <c r="A9" s="11" t="s">
        <v>702</v>
      </c>
      <c r="B9" s="7" t="s">
        <v>811</v>
      </c>
      <c r="C9" s="7" t="s">
        <v>807</v>
      </c>
      <c r="D9" s="7" t="s">
        <v>808</v>
      </c>
      <c r="E9" s="7" t="s">
        <v>809</v>
      </c>
    </row>
    <row r="10" customFormat="false" ht="33.75" hidden="false" customHeight="true" outlineLevel="0" collapsed="false">
      <c r="A10" s="11" t="s">
        <v>703</v>
      </c>
      <c r="B10" s="7" t="s">
        <v>812</v>
      </c>
      <c r="C10" s="7" t="s">
        <v>807</v>
      </c>
      <c r="D10" s="7" t="s">
        <v>808</v>
      </c>
      <c r="E10" s="7" t="s">
        <v>809</v>
      </c>
    </row>
    <row r="11" customFormat="false" ht="33.75" hidden="false" customHeight="true" outlineLevel="0" collapsed="false">
      <c r="A11" s="11" t="s">
        <v>704</v>
      </c>
      <c r="B11" s="7" t="s">
        <v>813</v>
      </c>
      <c r="C11" s="7" t="s">
        <v>807</v>
      </c>
      <c r="D11" s="7" t="s">
        <v>808</v>
      </c>
      <c r="E11" s="7" t="s">
        <v>809</v>
      </c>
    </row>
    <row r="12" customFormat="false" ht="33.75" hidden="false" customHeight="true" outlineLevel="0" collapsed="false">
      <c r="A12" s="11" t="s">
        <v>705</v>
      </c>
      <c r="B12" s="7" t="s">
        <v>814</v>
      </c>
      <c r="C12" s="7" t="s">
        <v>807</v>
      </c>
      <c r="D12" s="7" t="s">
        <v>808</v>
      </c>
      <c r="E12" s="7" t="s">
        <v>809</v>
      </c>
    </row>
    <row r="13" customFormat="false" ht="33.75" hidden="false" customHeight="true" outlineLevel="0" collapsed="false">
      <c r="A13" s="11" t="s">
        <v>706</v>
      </c>
      <c r="B13" s="7" t="s">
        <v>815</v>
      </c>
      <c r="C13" s="7" t="s">
        <v>807</v>
      </c>
      <c r="D13" s="7" t="s">
        <v>808</v>
      </c>
      <c r="E13" s="7" t="s">
        <v>809</v>
      </c>
    </row>
    <row r="14" customFormat="false" ht="33.75" hidden="false" customHeight="true" outlineLevel="0" collapsed="false">
      <c r="A14" s="11" t="s">
        <v>707</v>
      </c>
      <c r="B14" s="7" t="s">
        <v>816</v>
      </c>
      <c r="C14" s="7" t="s">
        <v>807</v>
      </c>
      <c r="D14" s="7" t="s">
        <v>808</v>
      </c>
      <c r="E14" s="7" t="s">
        <v>809</v>
      </c>
    </row>
    <row r="15" customFormat="false" ht="33.75" hidden="false" customHeight="true" outlineLevel="0" collapsed="false">
      <c r="A15" s="11" t="s">
        <v>708</v>
      </c>
      <c r="B15" s="7" t="s">
        <v>817</v>
      </c>
      <c r="C15" s="7" t="s">
        <v>807</v>
      </c>
      <c r="D15" s="7" t="s">
        <v>808</v>
      </c>
      <c r="E15" s="7" t="s">
        <v>809</v>
      </c>
    </row>
    <row r="16" customFormat="false" ht="33.75" hidden="false" customHeight="true" outlineLevel="0" collapsed="false">
      <c r="A16" s="11" t="s">
        <v>709</v>
      </c>
      <c r="B16" s="7" t="s">
        <v>818</v>
      </c>
      <c r="C16" s="7" t="s">
        <v>807</v>
      </c>
      <c r="D16" s="7" t="s">
        <v>808</v>
      </c>
      <c r="E16" s="7" t="s">
        <v>809</v>
      </c>
    </row>
    <row r="18" customFormat="false" ht="15" hidden="false" customHeight="false" outlineLevel="0" collapsed="false">
      <c r="A18" s="17" t="s">
        <v>819</v>
      </c>
    </row>
    <row r="19" customFormat="false" ht="30" hidden="false" customHeight="true" outlineLevel="0" collapsed="false">
      <c r="A19" s="5" t="s">
        <v>232</v>
      </c>
      <c r="B19" s="5" t="s">
        <v>820</v>
      </c>
      <c r="C19" s="5" t="s">
        <v>821</v>
      </c>
      <c r="D19" s="5" t="s">
        <v>822</v>
      </c>
      <c r="E19" s="5"/>
    </row>
    <row r="20" customFormat="false" ht="33.75" hidden="false" customHeight="true" outlineLevel="0" collapsed="false">
      <c r="A20" s="11" t="s">
        <v>700</v>
      </c>
      <c r="B20" s="7" t="s">
        <v>823</v>
      </c>
      <c r="C20" s="7" t="s">
        <v>179</v>
      </c>
      <c r="D20" s="7" t="s">
        <v>824</v>
      </c>
      <c r="E20" s="7"/>
    </row>
    <row r="21" customFormat="false" ht="33.75" hidden="false" customHeight="true" outlineLevel="0" collapsed="false">
      <c r="A21" s="11" t="s">
        <v>701</v>
      </c>
      <c r="B21" s="7" t="s">
        <v>825</v>
      </c>
      <c r="C21" s="7" t="s">
        <v>179</v>
      </c>
      <c r="D21" s="7" t="s">
        <v>826</v>
      </c>
      <c r="E21" s="7"/>
    </row>
    <row r="22" customFormat="false" ht="33.75" hidden="false" customHeight="true" outlineLevel="0" collapsed="false">
      <c r="A22" s="11" t="s">
        <v>702</v>
      </c>
      <c r="B22" s="7" t="s">
        <v>827</v>
      </c>
      <c r="C22" s="7" t="s">
        <v>179</v>
      </c>
      <c r="D22" s="7" t="s">
        <v>828</v>
      </c>
      <c r="E22" s="7"/>
    </row>
    <row r="23" customFormat="false" ht="33.75" hidden="false" customHeight="true" outlineLevel="0" collapsed="false">
      <c r="A23" s="11" t="s">
        <v>703</v>
      </c>
      <c r="B23" s="7" t="s">
        <v>829</v>
      </c>
      <c r="C23" s="7" t="s">
        <v>179</v>
      </c>
      <c r="D23" s="7" t="s">
        <v>830</v>
      </c>
      <c r="E23" s="7"/>
    </row>
    <row r="24" customFormat="false" ht="33.75" hidden="false" customHeight="true" outlineLevel="0" collapsed="false">
      <c r="A24" s="11" t="s">
        <v>704</v>
      </c>
      <c r="B24" s="7" t="s">
        <v>831</v>
      </c>
      <c r="C24" s="7" t="s">
        <v>832</v>
      </c>
      <c r="D24" s="7" t="s">
        <v>833</v>
      </c>
      <c r="E24" s="7"/>
    </row>
    <row r="25" customFormat="false" ht="33.75" hidden="false" customHeight="true" outlineLevel="0" collapsed="false">
      <c r="A25" s="11" t="s">
        <v>705</v>
      </c>
      <c r="B25" s="7" t="s">
        <v>834</v>
      </c>
      <c r="C25" s="7" t="s">
        <v>185</v>
      </c>
      <c r="D25" s="7" t="s">
        <v>835</v>
      </c>
      <c r="E25" s="7"/>
    </row>
    <row r="26" customFormat="false" ht="33.75" hidden="false" customHeight="true" outlineLevel="0" collapsed="false">
      <c r="A26" s="11" t="s">
        <v>706</v>
      </c>
      <c r="B26" s="7" t="s">
        <v>836</v>
      </c>
      <c r="C26" s="7" t="s">
        <v>179</v>
      </c>
      <c r="D26" s="7" t="s">
        <v>837</v>
      </c>
      <c r="E26" s="7"/>
    </row>
    <row r="27" customFormat="false" ht="33.75" hidden="false" customHeight="true" outlineLevel="0" collapsed="false">
      <c r="A27" s="11" t="s">
        <v>707</v>
      </c>
      <c r="B27" s="7" t="s">
        <v>838</v>
      </c>
      <c r="C27" s="7" t="s">
        <v>185</v>
      </c>
      <c r="D27" s="7" t="s">
        <v>839</v>
      </c>
      <c r="E27" s="7"/>
    </row>
    <row r="29" customFormat="false" ht="15" hidden="false" customHeight="false" outlineLevel="0" collapsed="false">
      <c r="A29" s="17" t="s">
        <v>840</v>
      </c>
    </row>
    <row r="30" customFormat="false" ht="30" hidden="false" customHeight="true" outlineLevel="0" collapsed="false">
      <c r="A30" s="5" t="s">
        <v>334</v>
      </c>
      <c r="B30" s="5" t="s">
        <v>841</v>
      </c>
      <c r="C30" s="5"/>
      <c r="D30" s="5"/>
      <c r="E30" s="5"/>
    </row>
    <row r="31" customFormat="false" ht="21.75" hidden="false" customHeight="true" outlineLevel="0" collapsed="false">
      <c r="A31" s="11" t="s">
        <v>842</v>
      </c>
      <c r="B31" s="7" t="s">
        <v>843</v>
      </c>
      <c r="C31" s="7"/>
      <c r="D31" s="7"/>
      <c r="E31" s="7"/>
    </row>
    <row r="32" customFormat="false" ht="21.75" hidden="false" customHeight="true" outlineLevel="0" collapsed="false">
      <c r="A32" s="11" t="s">
        <v>842</v>
      </c>
      <c r="B32" s="7" t="s">
        <v>844</v>
      </c>
      <c r="C32" s="7"/>
      <c r="D32" s="7"/>
      <c r="E32" s="7"/>
    </row>
    <row r="33" customFormat="false" ht="21.75" hidden="false" customHeight="true" outlineLevel="0" collapsed="false">
      <c r="A33" s="11" t="s">
        <v>476</v>
      </c>
      <c r="B33" s="7" t="s">
        <v>845</v>
      </c>
      <c r="C33" s="7"/>
      <c r="D33" s="7"/>
      <c r="E33" s="7"/>
    </row>
    <row r="34" customFormat="false" ht="21.75" hidden="false" customHeight="true" outlineLevel="0" collapsed="false">
      <c r="A34" s="11" t="s">
        <v>846</v>
      </c>
      <c r="B34" s="7" t="s">
        <v>847</v>
      </c>
      <c r="C34" s="7"/>
      <c r="D34" s="7"/>
      <c r="E34" s="7"/>
    </row>
    <row r="35" customFormat="false" ht="21.75" hidden="false" customHeight="true" outlineLevel="0" collapsed="false">
      <c r="A35" s="11" t="s">
        <v>846</v>
      </c>
      <c r="B35" s="7" t="s">
        <v>848</v>
      </c>
      <c r="C35" s="7"/>
      <c r="D35" s="7"/>
      <c r="E35" s="7"/>
    </row>
    <row r="36" customFormat="false" ht="21.75" hidden="false" customHeight="true" outlineLevel="0" collapsed="false">
      <c r="A36" s="11" t="s">
        <v>846</v>
      </c>
      <c r="B36" s="7" t="s">
        <v>849</v>
      </c>
      <c r="C36" s="7"/>
      <c r="D36" s="7"/>
      <c r="E36" s="7"/>
    </row>
    <row r="37" customFormat="false" ht="21.75" hidden="false" customHeight="true" outlineLevel="0" collapsed="false">
      <c r="A37" s="11" t="s">
        <v>850</v>
      </c>
      <c r="B37" s="7" t="s">
        <v>851</v>
      </c>
      <c r="C37" s="7"/>
      <c r="D37" s="7"/>
      <c r="E37" s="7"/>
    </row>
    <row r="38" customFormat="false" ht="21.75" hidden="false" customHeight="true" outlineLevel="0" collapsed="false">
      <c r="A38" s="11" t="s">
        <v>96</v>
      </c>
      <c r="B38" s="7" t="s">
        <v>852</v>
      </c>
      <c r="C38" s="7"/>
      <c r="D38" s="7"/>
      <c r="E38" s="7"/>
    </row>
    <row r="39" customFormat="false" ht="21.75" hidden="false" customHeight="true" outlineLevel="0" collapsed="false">
      <c r="A39" s="11" t="s">
        <v>853</v>
      </c>
      <c r="B39" s="7" t="s">
        <v>854</v>
      </c>
      <c r="C39" s="7"/>
      <c r="D39" s="7"/>
      <c r="E39" s="7"/>
    </row>
    <row r="40" customFormat="false" ht="21.75" hidden="false" customHeight="true" outlineLevel="0" collapsed="false">
      <c r="A40" s="11" t="s">
        <v>855</v>
      </c>
      <c r="B40" s="7" t="s">
        <v>856</v>
      </c>
      <c r="C40" s="7"/>
      <c r="D40" s="7"/>
      <c r="E40" s="7"/>
    </row>
    <row r="41" customFormat="false" ht="21.75" hidden="false" customHeight="true" outlineLevel="0" collapsed="false">
      <c r="A41" s="11" t="s">
        <v>857</v>
      </c>
      <c r="B41" s="7" t="s">
        <v>858</v>
      </c>
      <c r="C41" s="7"/>
      <c r="D41" s="7"/>
      <c r="E41" s="7"/>
    </row>
    <row r="42" customFormat="false" ht="21.75" hidden="false" customHeight="true" outlineLevel="0" collapsed="false">
      <c r="A42" s="11" t="s">
        <v>859</v>
      </c>
      <c r="B42" s="7" t="s">
        <v>860</v>
      </c>
      <c r="C42" s="7"/>
      <c r="D42" s="7"/>
      <c r="E42" s="7"/>
    </row>
    <row r="44" customFormat="false" ht="15" hidden="false" customHeight="false" outlineLevel="0" collapsed="false">
      <c r="A44" s="17" t="s">
        <v>861</v>
      </c>
    </row>
    <row r="45" customFormat="false" ht="30" hidden="false" customHeight="true" outlineLevel="0" collapsed="false">
      <c r="A45" s="5" t="s">
        <v>862</v>
      </c>
      <c r="B45" s="5" t="s">
        <v>319</v>
      </c>
      <c r="C45" s="5"/>
      <c r="D45" s="5"/>
      <c r="E45" s="5"/>
    </row>
    <row r="46" customFormat="false" ht="48" hidden="false" customHeight="true" outlineLevel="0" collapsed="false">
      <c r="A46" s="11" t="s">
        <v>863</v>
      </c>
      <c r="B46" s="7" t="s">
        <v>864</v>
      </c>
      <c r="C46" s="7"/>
      <c r="D46" s="7"/>
      <c r="E46" s="7"/>
    </row>
    <row r="47" customFormat="false" ht="48" hidden="false" customHeight="true" outlineLevel="0" collapsed="false">
      <c r="A47" s="11" t="s">
        <v>174</v>
      </c>
      <c r="B47" s="7" t="s">
        <v>865</v>
      </c>
      <c r="C47" s="7"/>
      <c r="D47" s="7"/>
      <c r="E47" s="7"/>
    </row>
    <row r="48" customFormat="false" ht="48" hidden="false" customHeight="true" outlineLevel="0" collapsed="false">
      <c r="A48" s="11" t="s">
        <v>866</v>
      </c>
      <c r="B48" s="7" t="s">
        <v>867</v>
      </c>
      <c r="C48" s="7"/>
      <c r="D48" s="7"/>
      <c r="E48" s="7"/>
    </row>
    <row r="50" customFormat="false" ht="15" hidden="false" customHeight="false" outlineLevel="0" collapsed="false">
      <c r="A50" s="17" t="s">
        <v>868</v>
      </c>
    </row>
    <row r="51" customFormat="false" ht="30" hidden="false" customHeight="true" outlineLevel="0" collapsed="false">
      <c r="A51" s="5" t="s">
        <v>232</v>
      </c>
      <c r="B51" s="5" t="s">
        <v>333</v>
      </c>
      <c r="C51" s="5" t="s">
        <v>869</v>
      </c>
      <c r="D51" s="5" t="s">
        <v>870</v>
      </c>
      <c r="E51" s="5"/>
    </row>
    <row r="52" customFormat="false" ht="33.75" hidden="false" customHeight="true" outlineLevel="0" collapsed="false">
      <c r="A52" s="11" t="s">
        <v>700</v>
      </c>
      <c r="B52" s="7" t="s">
        <v>871</v>
      </c>
      <c r="C52" s="7" t="s">
        <v>339</v>
      </c>
      <c r="D52" s="7" t="s">
        <v>872</v>
      </c>
      <c r="E52" s="7"/>
    </row>
    <row r="53" customFormat="false" ht="33.75" hidden="false" customHeight="true" outlineLevel="0" collapsed="false">
      <c r="A53" s="11" t="s">
        <v>701</v>
      </c>
      <c r="B53" s="7" t="s">
        <v>873</v>
      </c>
      <c r="C53" s="7" t="s">
        <v>339</v>
      </c>
      <c r="D53" s="7" t="s">
        <v>874</v>
      </c>
      <c r="E53" s="7"/>
    </row>
    <row r="54" customFormat="false" ht="33.75" hidden="false" customHeight="true" outlineLevel="0" collapsed="false">
      <c r="A54" s="11" t="s">
        <v>702</v>
      </c>
      <c r="B54" s="7" t="s">
        <v>875</v>
      </c>
      <c r="C54" s="7" t="s">
        <v>876</v>
      </c>
      <c r="D54" s="7" t="s">
        <v>877</v>
      </c>
      <c r="E54" s="7"/>
    </row>
    <row r="55" customFormat="false" ht="33.75" hidden="false" customHeight="true" outlineLevel="0" collapsed="false">
      <c r="A55" s="11" t="s">
        <v>703</v>
      </c>
      <c r="B55" s="7" t="s">
        <v>338</v>
      </c>
      <c r="C55" s="7" t="s">
        <v>339</v>
      </c>
      <c r="D55" s="7" t="s">
        <v>878</v>
      </c>
      <c r="E55" s="7"/>
    </row>
    <row r="56" customFormat="false" ht="33.75" hidden="false" customHeight="true" outlineLevel="0" collapsed="false">
      <c r="A56" s="11" t="s">
        <v>704</v>
      </c>
      <c r="B56" s="7" t="s">
        <v>879</v>
      </c>
      <c r="C56" s="7" t="s">
        <v>629</v>
      </c>
      <c r="D56" s="7" t="s">
        <v>880</v>
      </c>
      <c r="E56" s="7"/>
    </row>
    <row r="57" customFormat="false" ht="33.75" hidden="false" customHeight="true" outlineLevel="0" collapsed="false">
      <c r="A57" s="11" t="s">
        <v>705</v>
      </c>
      <c r="B57" s="7" t="s">
        <v>881</v>
      </c>
      <c r="C57" s="7" t="s">
        <v>882</v>
      </c>
      <c r="D57" s="7" t="s">
        <v>883</v>
      </c>
      <c r="E57" s="7"/>
    </row>
    <row r="59" customFormat="false" ht="15" hidden="false" customHeight="false" outlineLevel="0" collapsed="false">
      <c r="A59" s="17" t="s">
        <v>884</v>
      </c>
    </row>
    <row r="60" customFormat="false" ht="30" hidden="false" customHeight="true" outlineLevel="0" collapsed="false">
      <c r="A60" s="5" t="s">
        <v>232</v>
      </c>
      <c r="B60" s="5" t="s">
        <v>885</v>
      </c>
      <c r="C60" s="5" t="s">
        <v>477</v>
      </c>
      <c r="D60" s="5" t="s">
        <v>886</v>
      </c>
      <c r="E60" s="5"/>
    </row>
    <row r="61" customFormat="false" ht="33.75" hidden="false" customHeight="true" outlineLevel="0" collapsed="false">
      <c r="A61" s="11" t="s">
        <v>700</v>
      </c>
      <c r="B61" s="7" t="s">
        <v>887</v>
      </c>
      <c r="C61" s="7" t="s">
        <v>888</v>
      </c>
      <c r="D61" s="7" t="s">
        <v>889</v>
      </c>
      <c r="E61" s="7"/>
    </row>
    <row r="62" customFormat="false" ht="33.75" hidden="false" customHeight="true" outlineLevel="0" collapsed="false">
      <c r="A62" s="11" t="s">
        <v>701</v>
      </c>
      <c r="B62" s="7" t="s">
        <v>890</v>
      </c>
      <c r="C62" s="7" t="s">
        <v>891</v>
      </c>
      <c r="D62" s="7" t="s">
        <v>616</v>
      </c>
      <c r="E62" s="7"/>
    </row>
    <row r="63" customFormat="false" ht="33.75" hidden="false" customHeight="true" outlineLevel="0" collapsed="false">
      <c r="A63" s="11" t="s">
        <v>702</v>
      </c>
      <c r="B63" s="7" t="s">
        <v>892</v>
      </c>
      <c r="C63" s="7" t="s">
        <v>893</v>
      </c>
      <c r="D63" s="7" t="s">
        <v>616</v>
      </c>
      <c r="E63" s="7"/>
    </row>
    <row r="64" customFormat="false" ht="33.75" hidden="false" customHeight="true" outlineLevel="0" collapsed="false">
      <c r="A64" s="11" t="s">
        <v>703</v>
      </c>
      <c r="B64" s="7" t="s">
        <v>894</v>
      </c>
      <c r="C64" s="7" t="s">
        <v>895</v>
      </c>
      <c r="D64" s="7" t="s">
        <v>616</v>
      </c>
      <c r="E64" s="7"/>
    </row>
    <row r="65" customFormat="false" ht="33.75" hidden="false" customHeight="true" outlineLevel="0" collapsed="false">
      <c r="A65" s="11" t="s">
        <v>704</v>
      </c>
      <c r="B65" s="7" t="s">
        <v>896</v>
      </c>
      <c r="C65" s="7" t="s">
        <v>897</v>
      </c>
      <c r="D65" s="7" t="s">
        <v>616</v>
      </c>
      <c r="E65" s="7"/>
    </row>
    <row r="66" customFormat="false" ht="33.75" hidden="false" customHeight="true" outlineLevel="0" collapsed="false">
      <c r="A66" s="11" t="s">
        <v>705</v>
      </c>
      <c r="B66" s="7" t="s">
        <v>898</v>
      </c>
      <c r="C66" s="7" t="s">
        <v>899</v>
      </c>
      <c r="D66" s="7" t="s">
        <v>889</v>
      </c>
      <c r="E66" s="7"/>
    </row>
    <row r="67" customFormat="false" ht="33.75" hidden="false" customHeight="true" outlineLevel="0" collapsed="false">
      <c r="A67" s="11" t="s">
        <v>706</v>
      </c>
      <c r="B67" s="7" t="s">
        <v>900</v>
      </c>
      <c r="C67" s="7" t="s">
        <v>901</v>
      </c>
      <c r="D67" s="7" t="s">
        <v>902</v>
      </c>
      <c r="E67" s="7"/>
    </row>
    <row r="68" customFormat="false" ht="33.75" hidden="false" customHeight="true" outlineLevel="0" collapsed="false">
      <c r="A68" s="11" t="s">
        <v>707</v>
      </c>
      <c r="B68" s="7" t="s">
        <v>903</v>
      </c>
      <c r="C68" s="7" t="s">
        <v>904</v>
      </c>
      <c r="D68" s="7" t="s">
        <v>902</v>
      </c>
      <c r="E68" s="7"/>
    </row>
    <row r="69" customFormat="false" ht="33.75" hidden="false" customHeight="true" outlineLevel="0" collapsed="false">
      <c r="A69" s="11" t="s">
        <v>708</v>
      </c>
      <c r="B69" s="7" t="s">
        <v>905</v>
      </c>
      <c r="C69" s="7" t="s">
        <v>906</v>
      </c>
      <c r="D69" s="7" t="s">
        <v>902</v>
      </c>
      <c r="E69" s="7"/>
    </row>
    <row r="70" customFormat="false" ht="33.75" hidden="false" customHeight="true" outlineLevel="0" collapsed="false">
      <c r="A70" s="11" t="s">
        <v>709</v>
      </c>
      <c r="B70" s="7" t="s">
        <v>907</v>
      </c>
      <c r="C70" s="7" t="s">
        <v>908</v>
      </c>
      <c r="D70" s="7" t="s">
        <v>889</v>
      </c>
      <c r="E70" s="7"/>
    </row>
    <row r="71" customFormat="false" ht="33.75" hidden="false" customHeight="true" outlineLevel="0" collapsed="false">
      <c r="A71" s="11" t="s">
        <v>710</v>
      </c>
      <c r="B71" s="7" t="s">
        <v>909</v>
      </c>
      <c r="C71" s="7" t="s">
        <v>910</v>
      </c>
      <c r="D71" s="7" t="s">
        <v>616</v>
      </c>
      <c r="E71" s="7"/>
    </row>
    <row r="72" customFormat="false" ht="33.75" hidden="false" customHeight="true" outlineLevel="0" collapsed="false">
      <c r="A72" s="11" t="s">
        <v>711</v>
      </c>
      <c r="B72" s="7" t="s">
        <v>911</v>
      </c>
      <c r="C72" s="7" t="s">
        <v>912</v>
      </c>
      <c r="D72" s="7" t="s">
        <v>889</v>
      </c>
      <c r="E72" s="7"/>
    </row>
    <row r="73" customFormat="false" ht="15" hidden="false" customHeight="true" outlineLevel="0" collapsed="false">
      <c r="A73" s="52" t="s">
        <v>913</v>
      </c>
      <c r="B73" s="52"/>
      <c r="C73" s="52"/>
      <c r="D73" s="52"/>
      <c r="E73" s="52"/>
    </row>
    <row r="75" customFormat="false" ht="15" hidden="false" customHeight="false" outlineLevel="0" collapsed="false">
      <c r="A75" s="17" t="s">
        <v>914</v>
      </c>
    </row>
    <row r="76" customFormat="false" ht="30" hidden="false" customHeight="true" outlineLevel="0" collapsed="false">
      <c r="A76" s="5" t="s">
        <v>379</v>
      </c>
      <c r="B76" s="5" t="s">
        <v>319</v>
      </c>
      <c r="C76" s="5"/>
      <c r="D76" s="5"/>
      <c r="E76" s="5"/>
    </row>
    <row r="77" customFormat="false" ht="33.75" hidden="false" customHeight="true" outlineLevel="0" collapsed="false">
      <c r="A77" s="11" t="s">
        <v>915</v>
      </c>
      <c r="B77" s="7" t="s">
        <v>916</v>
      </c>
      <c r="C77" s="7"/>
      <c r="D77" s="7"/>
      <c r="E77" s="7"/>
    </row>
    <row r="78" customFormat="false" ht="33.75" hidden="false" customHeight="true" outlineLevel="0" collapsed="false">
      <c r="A78" s="11" t="s">
        <v>917</v>
      </c>
      <c r="B78" s="7" t="s">
        <v>918</v>
      </c>
      <c r="C78" s="7"/>
      <c r="D78" s="7"/>
      <c r="E78" s="7"/>
    </row>
    <row r="79" customFormat="false" ht="33.75" hidden="false" customHeight="true" outlineLevel="0" collapsed="false">
      <c r="A79" s="11" t="s">
        <v>919</v>
      </c>
      <c r="B79" s="7" t="s">
        <v>920</v>
      </c>
      <c r="C79" s="7"/>
      <c r="D79" s="7"/>
      <c r="E79" s="7"/>
    </row>
    <row r="80" customFormat="false" ht="33.75" hidden="false" customHeight="true" outlineLevel="0" collapsed="false">
      <c r="A80" s="11" t="s">
        <v>921</v>
      </c>
      <c r="B80" s="7" t="s">
        <v>922</v>
      </c>
      <c r="C80" s="7"/>
      <c r="D80" s="7"/>
      <c r="E80" s="7"/>
    </row>
    <row r="81" customFormat="false" ht="33.75" hidden="false" customHeight="true" outlineLevel="0" collapsed="false">
      <c r="A81" s="11" t="s">
        <v>923</v>
      </c>
      <c r="B81" s="7" t="s">
        <v>924</v>
      </c>
      <c r="C81" s="7"/>
      <c r="D81" s="7"/>
      <c r="E81" s="7"/>
    </row>
    <row r="82" customFormat="false" ht="33.75" hidden="false" customHeight="true" outlineLevel="0" collapsed="false">
      <c r="A82" s="11" t="s">
        <v>120</v>
      </c>
      <c r="B82" s="7" t="s">
        <v>925</v>
      </c>
      <c r="C82" s="7"/>
      <c r="D82" s="7"/>
      <c r="E82" s="7"/>
    </row>
    <row r="84" customFormat="false" ht="15" hidden="false" customHeight="false" outlineLevel="0" collapsed="false">
      <c r="A84" s="17" t="s">
        <v>926</v>
      </c>
    </row>
    <row r="85" customFormat="false" ht="30" hidden="false" customHeight="true" outlineLevel="0" collapsed="false">
      <c r="A85" s="5" t="s">
        <v>232</v>
      </c>
      <c r="B85" s="5" t="s">
        <v>841</v>
      </c>
      <c r="C85" s="5" t="s">
        <v>927</v>
      </c>
      <c r="D85" s="5" t="s">
        <v>928</v>
      </c>
      <c r="E85" s="5"/>
    </row>
    <row r="86" customFormat="false" ht="33.75" hidden="false" customHeight="true" outlineLevel="0" collapsed="false">
      <c r="A86" s="11" t="s">
        <v>700</v>
      </c>
      <c r="B86" s="7" t="s">
        <v>929</v>
      </c>
      <c r="C86" s="7" t="s">
        <v>656</v>
      </c>
      <c r="D86" s="7" t="s">
        <v>930</v>
      </c>
      <c r="E86" s="7"/>
    </row>
    <row r="87" customFormat="false" ht="33.75" hidden="false" customHeight="true" outlineLevel="0" collapsed="false">
      <c r="A87" s="11" t="s">
        <v>701</v>
      </c>
      <c r="B87" s="7" t="s">
        <v>931</v>
      </c>
      <c r="C87" s="7" t="s">
        <v>412</v>
      </c>
      <c r="D87" s="7" t="s">
        <v>932</v>
      </c>
      <c r="E87" s="7"/>
    </row>
    <row r="88" customFormat="false" ht="33.75" hidden="false" customHeight="true" outlineLevel="0" collapsed="false">
      <c r="A88" s="11" t="s">
        <v>702</v>
      </c>
      <c r="B88" s="7" t="s">
        <v>933</v>
      </c>
      <c r="C88" s="7" t="s">
        <v>934</v>
      </c>
      <c r="D88" s="7" t="s">
        <v>935</v>
      </c>
      <c r="E88" s="7"/>
    </row>
    <row r="89" customFormat="false" ht="33.75" hidden="false" customHeight="true" outlineLevel="0" collapsed="false">
      <c r="A89" s="11" t="s">
        <v>703</v>
      </c>
      <c r="B89" s="7" t="s">
        <v>936</v>
      </c>
      <c r="C89" s="7" t="s">
        <v>937</v>
      </c>
      <c r="D89" s="7" t="s">
        <v>938</v>
      </c>
      <c r="E89" s="7"/>
    </row>
    <row r="90" customFormat="false" ht="33.75" hidden="false" customHeight="true" outlineLevel="0" collapsed="false">
      <c r="A90" s="11" t="s">
        <v>704</v>
      </c>
      <c r="B90" s="7" t="s">
        <v>939</v>
      </c>
      <c r="C90" s="7" t="s">
        <v>654</v>
      </c>
      <c r="D90" s="7" t="s">
        <v>940</v>
      </c>
      <c r="E90" s="7"/>
    </row>
    <row r="91" customFormat="false" ht="33.75" hidden="false" customHeight="true" outlineLevel="0" collapsed="false">
      <c r="A91" s="11" t="s">
        <v>705</v>
      </c>
      <c r="B91" s="7" t="s">
        <v>941</v>
      </c>
      <c r="C91" s="7" t="s">
        <v>410</v>
      </c>
      <c r="D91" s="7" t="s">
        <v>942</v>
      </c>
      <c r="E91" s="7"/>
    </row>
    <row r="93" customFormat="false" ht="15" hidden="false" customHeight="false" outlineLevel="0" collapsed="false">
      <c r="A93" s="17" t="s">
        <v>943</v>
      </c>
    </row>
    <row r="94" customFormat="false" ht="30" hidden="false" customHeight="true" outlineLevel="0" collapsed="false">
      <c r="A94" s="5" t="s">
        <v>944</v>
      </c>
      <c r="B94" s="5" t="s">
        <v>945</v>
      </c>
      <c r="C94" s="5"/>
      <c r="D94" s="5"/>
      <c r="E94" s="5"/>
    </row>
    <row r="95" customFormat="false" ht="33.75" hidden="false" customHeight="true" outlineLevel="0" collapsed="false">
      <c r="A95" s="11" t="s">
        <v>946</v>
      </c>
      <c r="B95" s="7" t="s">
        <v>947</v>
      </c>
      <c r="C95" s="7"/>
      <c r="D95" s="7"/>
      <c r="E95" s="7"/>
    </row>
    <row r="96" customFormat="false" ht="33.75" hidden="false" customHeight="true" outlineLevel="0" collapsed="false">
      <c r="A96" s="11" t="s">
        <v>948</v>
      </c>
      <c r="B96" s="7" t="s">
        <v>949</v>
      </c>
      <c r="C96" s="7"/>
      <c r="D96" s="7"/>
      <c r="E96" s="7"/>
    </row>
    <row r="97" customFormat="false" ht="33.75" hidden="false" customHeight="true" outlineLevel="0" collapsed="false">
      <c r="A97" s="11" t="s">
        <v>950</v>
      </c>
      <c r="B97" s="7" t="s">
        <v>951</v>
      </c>
      <c r="C97" s="7"/>
      <c r="D97" s="7"/>
      <c r="E97" s="7"/>
    </row>
    <row r="99" customFormat="false" ht="15" hidden="false" customHeight="false" outlineLevel="0" collapsed="false">
      <c r="A99" s="17" t="s">
        <v>952</v>
      </c>
    </row>
    <row r="100" customFormat="false" ht="30" hidden="false" customHeight="true" outlineLevel="0" collapsed="false">
      <c r="A100" s="5" t="s">
        <v>232</v>
      </c>
      <c r="B100" s="5" t="s">
        <v>953</v>
      </c>
      <c r="C100" s="5"/>
      <c r="D100" s="5"/>
      <c r="E100" s="5"/>
    </row>
    <row r="101" customFormat="false" ht="19.5" hidden="false" customHeight="true" outlineLevel="0" collapsed="false">
      <c r="A101" s="11" t="s">
        <v>700</v>
      </c>
      <c r="B101" s="7" t="s">
        <v>954</v>
      </c>
      <c r="C101" s="7"/>
      <c r="D101" s="7"/>
      <c r="E101" s="7"/>
    </row>
    <row r="102" customFormat="false" ht="19.5" hidden="false" customHeight="true" outlineLevel="0" collapsed="false">
      <c r="A102" s="11" t="s">
        <v>701</v>
      </c>
      <c r="B102" s="7" t="s">
        <v>955</v>
      </c>
      <c r="C102" s="7"/>
      <c r="D102" s="7"/>
      <c r="E102" s="7"/>
    </row>
    <row r="103" customFormat="false" ht="19.5" hidden="false" customHeight="true" outlineLevel="0" collapsed="false">
      <c r="A103" s="11" t="s">
        <v>702</v>
      </c>
      <c r="B103" s="7" t="s">
        <v>956</v>
      </c>
      <c r="C103" s="7"/>
      <c r="D103" s="7"/>
      <c r="E103" s="7"/>
    </row>
    <row r="104" customFormat="false" ht="19.5" hidden="false" customHeight="true" outlineLevel="0" collapsed="false">
      <c r="A104" s="11" t="s">
        <v>703</v>
      </c>
      <c r="B104" s="7" t="s">
        <v>957</v>
      </c>
      <c r="C104" s="7"/>
      <c r="D104" s="7"/>
      <c r="E104" s="7"/>
    </row>
    <row r="105" customFormat="false" ht="19.5" hidden="false" customHeight="true" outlineLevel="0" collapsed="false">
      <c r="A105" s="11" t="s">
        <v>704</v>
      </c>
      <c r="B105" s="7" t="s">
        <v>958</v>
      </c>
      <c r="C105" s="7"/>
      <c r="D105" s="7"/>
      <c r="E105" s="7"/>
    </row>
    <row r="106" customFormat="false" ht="19.5" hidden="false" customHeight="true" outlineLevel="0" collapsed="false">
      <c r="A106" s="11" t="s">
        <v>705</v>
      </c>
      <c r="B106" s="7" t="s">
        <v>959</v>
      </c>
      <c r="C106" s="7"/>
      <c r="D106" s="7"/>
      <c r="E106" s="7"/>
    </row>
    <row r="107" customFormat="false" ht="19.5" hidden="false" customHeight="true" outlineLevel="0" collapsed="false">
      <c r="A107" s="11" t="s">
        <v>706</v>
      </c>
      <c r="B107" s="7" t="s">
        <v>960</v>
      </c>
      <c r="C107" s="7"/>
      <c r="D107" s="7"/>
      <c r="E107" s="7"/>
    </row>
    <row r="108" customFormat="false" ht="19.5" hidden="false" customHeight="true" outlineLevel="0" collapsed="false">
      <c r="A108" s="11" t="s">
        <v>707</v>
      </c>
      <c r="B108" s="7" t="s">
        <v>961</v>
      </c>
      <c r="C108" s="7"/>
      <c r="D108" s="7"/>
      <c r="E108" s="7"/>
    </row>
    <row r="109" customFormat="false" ht="19.5" hidden="false" customHeight="true" outlineLevel="0" collapsed="false">
      <c r="A109" s="11" t="s">
        <v>708</v>
      </c>
      <c r="B109" s="7" t="s">
        <v>962</v>
      </c>
      <c r="C109" s="7"/>
      <c r="D109" s="7"/>
      <c r="E109" s="7"/>
    </row>
    <row r="110" customFormat="false" ht="19.5" hidden="false" customHeight="true" outlineLevel="0" collapsed="false">
      <c r="A110" s="11" t="s">
        <v>709</v>
      </c>
      <c r="B110" s="7" t="s">
        <v>963</v>
      </c>
      <c r="C110" s="7"/>
      <c r="D110" s="7"/>
      <c r="E110" s="7"/>
    </row>
    <row r="112" customFormat="false" ht="15" hidden="false" customHeight="false" outlineLevel="0" collapsed="false">
      <c r="A112" s="17" t="s">
        <v>964</v>
      </c>
    </row>
    <row r="113" customFormat="false" ht="30" hidden="false" customHeight="true" outlineLevel="0" collapsed="false">
      <c r="A113" s="5" t="s">
        <v>965</v>
      </c>
      <c r="B113" s="5" t="s">
        <v>491</v>
      </c>
      <c r="C113" s="5" t="s">
        <v>966</v>
      </c>
      <c r="D113" s="5"/>
      <c r="E113" s="5"/>
    </row>
    <row r="114" customFormat="false" ht="33.75" hidden="false" customHeight="true" outlineLevel="0" collapsed="false">
      <c r="A114" s="11" t="s">
        <v>700</v>
      </c>
      <c r="B114" s="7" t="s">
        <v>967</v>
      </c>
      <c r="C114" s="7" t="s">
        <v>968</v>
      </c>
      <c r="D114" s="7"/>
      <c r="E114" s="7"/>
    </row>
    <row r="115" customFormat="false" ht="33.75" hidden="false" customHeight="true" outlineLevel="0" collapsed="false">
      <c r="A115" s="11" t="s">
        <v>701</v>
      </c>
      <c r="B115" s="7" t="s">
        <v>969</v>
      </c>
      <c r="C115" s="7" t="s">
        <v>970</v>
      </c>
      <c r="D115" s="7"/>
      <c r="E115" s="7"/>
    </row>
    <row r="116" customFormat="false" ht="33.75" hidden="false" customHeight="true" outlineLevel="0" collapsed="false">
      <c r="A116" s="11" t="s">
        <v>702</v>
      </c>
      <c r="B116" s="7" t="s">
        <v>971</v>
      </c>
      <c r="C116" s="7" t="s">
        <v>972</v>
      </c>
      <c r="D116" s="7"/>
      <c r="E116" s="7"/>
    </row>
    <row r="117" customFormat="false" ht="33.75" hidden="false" customHeight="true" outlineLevel="0" collapsed="false">
      <c r="A117" s="11" t="s">
        <v>703</v>
      </c>
      <c r="B117" s="7" t="s">
        <v>973</v>
      </c>
      <c r="C117" s="7" t="s">
        <v>974</v>
      </c>
      <c r="D117" s="7"/>
      <c r="E117" s="7"/>
    </row>
    <row r="118" customFormat="false" ht="33.75" hidden="false" customHeight="true" outlineLevel="0" collapsed="false">
      <c r="A118" s="11" t="s">
        <v>704</v>
      </c>
      <c r="B118" s="7" t="s">
        <v>975</v>
      </c>
      <c r="C118" s="7" t="s">
        <v>976</v>
      </c>
      <c r="D118" s="7"/>
      <c r="E118" s="7"/>
    </row>
    <row r="119" customFormat="false" ht="33.75" hidden="false" customHeight="true" outlineLevel="0" collapsed="false">
      <c r="A119" s="11" t="s">
        <v>705</v>
      </c>
      <c r="B119" s="7" t="s">
        <v>977</v>
      </c>
      <c r="C119" s="7" t="s">
        <v>978</v>
      </c>
      <c r="D119" s="7"/>
      <c r="E119" s="7"/>
    </row>
    <row r="120" customFormat="false" ht="33.75" hidden="false" customHeight="true" outlineLevel="0" collapsed="false">
      <c r="A120" s="11" t="s">
        <v>706</v>
      </c>
      <c r="B120" s="7" t="s">
        <v>979</v>
      </c>
      <c r="C120" s="7" t="s">
        <v>980</v>
      </c>
      <c r="D120" s="7"/>
      <c r="E120" s="7"/>
    </row>
  </sheetData>
  <mergeCells count="1"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9" t="s">
        <v>82</v>
      </c>
      <c r="B1" s="2"/>
      <c r="C1" s="2"/>
      <c r="D1" s="2"/>
      <c r="E1" s="2"/>
    </row>
    <row r="2" customFormat="false" ht="15" hidden="false" customHeight="false" outlineLevel="0" collapsed="false">
      <c r="A2" s="10" t="s">
        <v>83</v>
      </c>
    </row>
    <row r="3" customFormat="false" ht="15" hidden="false" customHeight="false" outlineLevel="0" collapsed="false">
      <c r="A3" s="4" t="s">
        <v>86</v>
      </c>
    </row>
    <row r="5" customFormat="false" ht="30" hidden="false" customHeight="true" outlineLevel="0" collapsed="false">
      <c r="A5" s="5" t="s">
        <v>169</v>
      </c>
      <c r="B5" s="5" t="s">
        <v>981</v>
      </c>
      <c r="C5" s="5" t="s">
        <v>982</v>
      </c>
      <c r="D5" s="5" t="s">
        <v>983</v>
      </c>
      <c r="E5" s="5" t="s">
        <v>984</v>
      </c>
    </row>
    <row r="6" customFormat="false" ht="15" hidden="false" customHeight="false" outlineLevel="0" collapsed="false">
      <c r="A6" s="11" t="s">
        <v>985</v>
      </c>
      <c r="B6" s="7" t="s">
        <v>986</v>
      </c>
      <c r="C6" s="7" t="s">
        <v>987</v>
      </c>
      <c r="D6" s="7" t="s">
        <v>988</v>
      </c>
      <c r="E6" s="28" t="str">
        <f aca="false">IFERROR(AVERAGE(D16:D23),"")</f>
        <v/>
      </c>
    </row>
    <row r="7" customFormat="false" ht="15" hidden="false" customHeight="false" outlineLevel="0" collapsed="false">
      <c r="A7" s="11" t="s">
        <v>989</v>
      </c>
      <c r="B7" s="7" t="s">
        <v>990</v>
      </c>
      <c r="C7" s="7" t="s">
        <v>991</v>
      </c>
      <c r="D7" s="7" t="s">
        <v>992</v>
      </c>
      <c r="E7" s="53" t="str">
        <f aca="false">IFERROR('19b Test Scoring'!H59,"")</f>
        <v/>
      </c>
    </row>
    <row r="8" customFormat="false" ht="15" hidden="false" customHeight="false" outlineLevel="0" collapsed="false">
      <c r="A8" s="11" t="s">
        <v>993</v>
      </c>
      <c r="B8" s="7" t="s">
        <v>994</v>
      </c>
      <c r="C8" s="7" t="s">
        <v>995</v>
      </c>
      <c r="D8" s="7" t="s">
        <v>996</v>
      </c>
      <c r="E8" s="12"/>
    </row>
    <row r="9" customFormat="false" ht="15" hidden="false" customHeight="false" outlineLevel="0" collapsed="false">
      <c r="A9" s="11" t="s">
        <v>997</v>
      </c>
      <c r="B9" s="7" t="s">
        <v>998</v>
      </c>
      <c r="C9" s="7" t="s">
        <v>999</v>
      </c>
      <c r="D9" s="7" t="s">
        <v>1000</v>
      </c>
      <c r="E9" s="13" t="str">
        <f aca="false">'22 Impact Metrics'!G16</f>
        <v>0 / 0</v>
      </c>
    </row>
    <row r="11" customFormat="false" ht="15" hidden="false" customHeight="false" outlineLevel="0" collapsed="false">
      <c r="A11" s="22" t="s">
        <v>1001</v>
      </c>
    </row>
    <row r="14" customFormat="false" ht="15" hidden="false" customHeight="false" outlineLevel="0" collapsed="false">
      <c r="A14" s="17" t="s">
        <v>1002</v>
      </c>
    </row>
    <row r="15" customFormat="false" ht="30" hidden="false" customHeight="true" outlineLevel="0" collapsed="false">
      <c r="A15" s="5" t="s">
        <v>232</v>
      </c>
      <c r="B15" s="5" t="s">
        <v>333</v>
      </c>
      <c r="C15" s="5"/>
      <c r="D15" s="5" t="s">
        <v>104</v>
      </c>
      <c r="E15" s="5"/>
    </row>
    <row r="16" customFormat="false" ht="15" hidden="false" customHeight="true" outlineLevel="0" collapsed="false">
      <c r="A16" s="13" t="n">
        <v>1</v>
      </c>
      <c r="B16" s="7" t="s">
        <v>1003</v>
      </c>
      <c r="C16" s="7"/>
      <c r="D16" s="54"/>
    </row>
    <row r="17" customFormat="false" ht="15" hidden="false" customHeight="true" outlineLevel="0" collapsed="false">
      <c r="A17" s="13" t="n">
        <v>2</v>
      </c>
      <c r="B17" s="7" t="s">
        <v>1004</v>
      </c>
      <c r="C17" s="7"/>
      <c r="D17" s="54"/>
    </row>
    <row r="18" customFormat="false" ht="15" hidden="false" customHeight="true" outlineLevel="0" collapsed="false">
      <c r="A18" s="13" t="n">
        <v>3</v>
      </c>
      <c r="B18" s="7" t="s">
        <v>1005</v>
      </c>
      <c r="C18" s="7"/>
      <c r="D18" s="54"/>
    </row>
    <row r="19" customFormat="false" ht="15" hidden="false" customHeight="true" outlineLevel="0" collapsed="false">
      <c r="A19" s="13" t="n">
        <v>4</v>
      </c>
      <c r="B19" s="7" t="s">
        <v>1006</v>
      </c>
      <c r="C19" s="7"/>
      <c r="D19" s="54"/>
    </row>
    <row r="20" customFormat="false" ht="15" hidden="false" customHeight="true" outlineLevel="0" collapsed="false">
      <c r="A20" s="13" t="n">
        <v>5</v>
      </c>
      <c r="B20" s="7" t="s">
        <v>1007</v>
      </c>
      <c r="C20" s="7"/>
      <c r="D20" s="54"/>
    </row>
    <row r="21" customFormat="false" ht="15" hidden="false" customHeight="true" outlineLevel="0" collapsed="false">
      <c r="A21" s="13" t="n">
        <v>6</v>
      </c>
      <c r="B21" s="7" t="s">
        <v>1008</v>
      </c>
      <c r="C21" s="7"/>
      <c r="D21" s="54"/>
    </row>
    <row r="22" customFormat="false" ht="15" hidden="false" customHeight="true" outlineLevel="0" collapsed="false">
      <c r="A22" s="13" t="n">
        <v>7</v>
      </c>
      <c r="B22" s="7" t="s">
        <v>1009</v>
      </c>
      <c r="C22" s="7"/>
      <c r="D22" s="54"/>
    </row>
    <row r="23" customFormat="false" ht="15" hidden="false" customHeight="true" outlineLevel="0" collapsed="false">
      <c r="A23" s="13" t="n">
        <v>8</v>
      </c>
      <c r="B23" s="7" t="s">
        <v>1010</v>
      </c>
      <c r="C23" s="7"/>
      <c r="D23" s="54"/>
    </row>
  </sheetData>
  <mergeCells count="8">
    <mergeCell ref="B16:C16"/>
    <mergeCell ref="B17:C17"/>
    <mergeCell ref="B18:C18"/>
    <mergeCell ref="B19:C19"/>
    <mergeCell ref="B20:C20"/>
    <mergeCell ref="B21:C21"/>
    <mergeCell ref="B22:C22"/>
    <mergeCell ref="B23:C23"/>
  </mergeCells>
  <dataValidations count="1">
    <dataValidation allowBlank="true" errorStyle="stop" operator="between" showDropDown="false" showErrorMessage="false" showInputMessage="false" sqref="D16:D23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2026-10-01T15:50:33Z</dcterms:created>
  <dc:creator>openpyxl</dc:creator>
  <dc:description/>
  <dc:language>en-US</dc:language>
  <cp:lastModifiedBy/>
  <dcterms:modified xsi:type="dcterms:W3CDTF">2026-10-01T15:50:36Z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